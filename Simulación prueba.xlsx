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hon\Documents\GitHub\Universidad\ProyectoModelo\"/>
    </mc:Choice>
  </mc:AlternateContent>
  <xr:revisionPtr revIDLastSave="0" documentId="13_ncr:1_{38018730-74CF-426B-BE9B-6392ACE132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irport" sheetId="1" r:id="rId1"/>
    <sheet name=".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J19" i="1"/>
  <c r="K18" i="1"/>
  <c r="J18" i="1"/>
  <c r="I19" i="1"/>
  <c r="I18" i="1"/>
  <c r="G9" i="1" a="1"/>
  <c r="G9" i="1" s="1"/>
  <c r="C9" i="1" a="1"/>
  <c r="C9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8" i="1" a="1"/>
  <c r="C8" i="1" s="1"/>
  <c r="C7" i="1" a="1"/>
  <c r="C7" i="1" s="1"/>
  <c r="C6" i="1" a="1"/>
  <c r="C6" i="1" s="1"/>
  <c r="C5" i="1" a="1"/>
  <c r="C5" i="1" s="1"/>
  <c r="C3" i="1" a="1"/>
  <c r="C3" i="1" s="1"/>
  <c r="D3" i="1" s="1"/>
  <c r="C4" i="1" a="1"/>
  <c r="C4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2" i="1" a="1"/>
  <c r="G2" i="1" s="1"/>
  <c r="H2" i="1" s="1"/>
  <c r="M8" i="3"/>
  <c r="M2" i="3"/>
  <c r="M3" i="3"/>
  <c r="M4" i="3"/>
  <c r="M5" i="3"/>
  <c r="M6" i="3"/>
  <c r="M7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L27" i="3"/>
  <c r="L26" i="3"/>
  <c r="K26" i="3"/>
  <c r="N27" i="3"/>
  <c r="N26" i="3"/>
  <c r="D4" i="1" l="1"/>
  <c r="D5" i="1" s="1"/>
  <c r="K3" i="1"/>
  <c r="J2" i="1"/>
  <c r="I3" i="1"/>
  <c r="E3" i="1"/>
  <c r="H3" i="1" s="1"/>
  <c r="D6" i="1" l="1"/>
  <c r="J3" i="1"/>
  <c r="K4" i="1"/>
  <c r="E4" i="1"/>
  <c r="H4" i="1" s="1"/>
  <c r="K5" i="1" s="1"/>
  <c r="I4" i="1"/>
  <c r="D7" i="1" l="1"/>
  <c r="E5" i="1"/>
  <c r="H5" i="1" s="1"/>
  <c r="I5" i="1"/>
  <c r="J4" i="1"/>
  <c r="K6" i="1" l="1"/>
  <c r="J5" i="1"/>
  <c r="D8" i="1"/>
  <c r="E6" i="1"/>
  <c r="H6" i="1" s="1"/>
  <c r="I6" i="1"/>
  <c r="K7" i="1" l="1"/>
  <c r="J6" i="1"/>
  <c r="D9" i="1"/>
  <c r="E7" i="1"/>
  <c r="H7" i="1" s="1"/>
  <c r="I7" i="1"/>
  <c r="K8" i="1" l="1"/>
  <c r="J7" i="1"/>
  <c r="D10" i="1"/>
  <c r="E8" i="1"/>
  <c r="H8" i="1" s="1"/>
  <c r="I8" i="1"/>
  <c r="D11" i="1" l="1"/>
  <c r="K9" i="1"/>
  <c r="J8" i="1"/>
  <c r="E9" i="1"/>
  <c r="H9" i="1" s="1"/>
  <c r="I9" i="1"/>
  <c r="K10" i="1" l="1"/>
  <c r="J9" i="1"/>
  <c r="D12" i="1"/>
  <c r="E10" i="1"/>
  <c r="H10" i="1" s="1"/>
  <c r="I10" i="1"/>
  <c r="K11" i="1" l="1"/>
  <c r="J10" i="1"/>
  <c r="D13" i="1"/>
  <c r="E11" i="1"/>
  <c r="H11" i="1" s="1"/>
  <c r="I11" i="1"/>
  <c r="K12" i="1" l="1"/>
  <c r="J11" i="1"/>
  <c r="D14" i="1"/>
  <c r="E12" i="1"/>
  <c r="H12" i="1" s="1"/>
  <c r="I12" i="1"/>
  <c r="K13" i="1" l="1"/>
  <c r="J12" i="1"/>
  <c r="D15" i="1"/>
  <c r="E13" i="1"/>
  <c r="H13" i="1" s="1"/>
  <c r="I13" i="1"/>
  <c r="K14" i="1" l="1"/>
  <c r="J13" i="1"/>
  <c r="E14" i="1"/>
  <c r="H14" i="1" s="1"/>
  <c r="I14" i="1"/>
  <c r="K15" i="1" l="1"/>
  <c r="J14" i="1"/>
  <c r="E15" i="1"/>
  <c r="H15" i="1" s="1"/>
  <c r="J15" i="1" s="1"/>
  <c r="I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<sst xmlns="http://schemas.openxmlformats.org/spreadsheetml/2006/main" count="122" uniqueCount="37">
  <si>
    <t>Tiempo entre arribo</t>
  </si>
  <si>
    <t>Arribo (Clock)</t>
  </si>
  <si>
    <t>P(x)</t>
  </si>
  <si>
    <t>Tiempo Entre Arribo</t>
  </si>
  <si>
    <t>F</t>
  </si>
  <si>
    <t>Espera</t>
  </si>
  <si>
    <t>RandomArribo(x)</t>
  </si>
  <si>
    <t>Salida</t>
  </si>
  <si>
    <t>Transito</t>
  </si>
  <si>
    <t>N°</t>
  </si>
  <si>
    <t>Inicio de Atención Juan (Clock)</t>
  </si>
  <si>
    <t>Inicio de Atención Facu (Clock)</t>
  </si>
  <si>
    <t>Duración de Preparación Juan</t>
  </si>
  <si>
    <t>Duración de Preparación Facu</t>
  </si>
  <si>
    <t>Tiempo de Juan</t>
  </si>
  <si>
    <t>Tiempo de Facu</t>
  </si>
  <si>
    <t>x</t>
  </si>
  <si>
    <t>ProbabilidadPreparación(x)</t>
  </si>
  <si>
    <t>Ocio Juan</t>
  </si>
  <si>
    <t>Ocio Facu</t>
  </si>
  <si>
    <t>Suma</t>
  </si>
  <si>
    <t>Max</t>
  </si>
  <si>
    <t>Spawn (Clock)</t>
  </si>
  <si>
    <t>StartService(Clock)</t>
  </si>
  <si>
    <t>InspDuration</t>
  </si>
  <si>
    <t>Out (Clock)</t>
  </si>
  <si>
    <t>Idle</t>
  </si>
  <si>
    <t>Transit</t>
  </si>
  <si>
    <t>Wait</t>
  </si>
  <si>
    <t>TimeBtwArrival</t>
  </si>
  <si>
    <t>ServiceDuration</t>
  </si>
  <si>
    <t>RandArrival(x)</t>
  </si>
  <si>
    <t>RandService(x)</t>
  </si>
  <si>
    <t>-</t>
  </si>
  <si>
    <t>Statistic</t>
  </si>
  <si>
    <t>Min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</si>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</sst>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44B02-F783-4812-95E0-751916B51BD0}" name="Table1" displayName="Table1" ref="A1:K15" totalsRowShown="0">
  <autoFilter ref="A1:K15" xr:uid="{41144B02-F783-4812-95E0-751916B51BD0}"/>
  <tableColumns count="11">
    <tableColumn id="1" xr3:uid="{7015C11E-937D-42B0-A90E-4171CEB7DD63}" name="N°"/>
    <tableColumn id="10" xr3:uid="{B479D487-1331-4FFD-A1D8-D9C8BEB6FB86}" name="RandArrival(x)"/>
    <tableColumn id="2" xr3:uid="{1B7A5D8D-4E4D-4940-BD1D-A64A37B690DE}" name="Tiempo entre arribo" dataDxfId="8">
      <calculatedColumnFormula array="1">_xlfn.IFS(Table1[[#This Row],[RandArrival(x)]]&lt;=Table2[[#This Row],[F]],Table2[[#This Row],[TimeBtwArrival]],Table1[[#This Row],[RandArrival(x)]]&lt;=O3,15,Table1[[#This Row],[RandArrival(x)]]&lt;=O4,M4)</calculatedColumnFormula>
    </tableColumn>
    <tableColumn id="3" xr3:uid="{43F31629-1A66-40C6-AC4F-CAE7D0E1481E}" name="Spawn (Clock)" dataDxfId="7">
      <calculatedColumnFormula>SUM(_FV(Table1[[#This Row],[Tiempo entre arribo]],"D2"))</calculatedColumnFormula>
    </tableColumn>
    <tableColumn id="4" xr3:uid="{1FB29065-CCF6-499E-85AF-B8DF2EB0ACFC}" name="StartService(Clock)" dataDxfId="6">
      <calculatedColumnFormula>IF(H1&gt;=Table1[[#This Row],[Spawn (Clock)]],H1,Table1[[#This Row],[Spawn (Clock)]])</calculatedColumnFormula>
    </tableColumn>
    <tableColumn id="12" xr3:uid="{D3CB59A9-ED16-4117-9F8C-C1F36788898F}" name="RandService(x)"/>
    <tableColumn id="5" xr3:uid="{DB41D0EE-F696-4E42-9FE4-39AF3CB8B233}" name="InspDuration" dataDxfId="3">
      <calculatedColumnFormula array="1">_xlfn.IFS(Table1[[#This Row],[RandService(x)]]&lt;=O9,M9,Table1[[#This Row],[RandService(x)]]&lt;=O10,M10,Table1[[#This Row],[RandService(x)]]&lt;=O11,M11,Table1[[#This Row],[RandService(x)]]&lt;=O12,M12)</calculatedColumnFormula>
    </tableColumn>
    <tableColumn id="13" xr3:uid="{872D993C-AD03-473B-9AE4-BF5B4256B2F2}" name="Out (Clock)" dataDxfId="5">
      <calculatedColumnFormula>SUM(Table1[[#This Row],[InspDuration]],Table1[[#This Row],[StartService(Clock)]])</calculatedColumnFormula>
    </tableColumn>
    <tableColumn id="7" xr3:uid="{DD6F25BB-7472-4D89-8000-72A8239F69A9}" name="Idle"/>
    <tableColumn id="14" xr3:uid="{9C195093-FB81-44F3-942A-9FEB95316607}" name="Transit" dataDxfId="4">
      <calculatedColumnFormula>SUM(Table1[[#This Row],[Out (Clock)]],-Table1[[#This Row],[Spawn (Clock)]])</calculatedColumnFormula>
    </tableColumn>
    <tableColumn id="8" xr3:uid="{7D501633-BD8D-4E7A-B9E6-BB79484980F0}" name="Wa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89C7F9-5FEA-4CC7-BB9B-7F2E0AF1020C}" name="Table2" displayName="Table2" ref="M1:O4" totalsRowShown="0">
  <autoFilter ref="M1:O4" xr:uid="{8289C7F9-5FEA-4CC7-BB9B-7F2E0AF1020C}"/>
  <tableColumns count="3">
    <tableColumn id="1" xr3:uid="{E7A0C7B7-B4E4-44DC-BF66-CF1B2FB52F9A}" name="TimeBtwArrival"/>
    <tableColumn id="2" xr3:uid="{5D99FF41-5505-4A75-97DD-E903E8D82892}" name="P(x)"/>
    <tableColumn id="3" xr3:uid="{61835A78-2E9B-4E24-85D9-FDCBD3B752D3}" name="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BFA89B-E913-4FC3-A33C-6F6D043CE390}" name="Table3" displayName="Table3" ref="M8:O12" totalsRowShown="0">
  <autoFilter ref="M8:O12" xr:uid="{43BFA89B-E913-4FC3-A33C-6F6D043CE390}"/>
  <tableColumns count="3">
    <tableColumn id="1" xr3:uid="{49124059-6C29-403B-BB5A-AB77B1667278}" name="ServiceDuration"/>
    <tableColumn id="2" xr3:uid="{6386B2A1-CEFD-4318-86EE-D387FFBB18E1}" name="P(x)"/>
    <tableColumn id="3" xr3:uid="{A86BBF1F-79EE-4D99-8045-E78683C1B5FE}" name="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032E18-AD90-42ED-94AB-F28DF8693EDB}" name="Table9" displayName="Table9" ref="H17:K20" totalsRowShown="0">
  <autoFilter ref="H17:K20" xr:uid="{2C032E18-AD90-42ED-94AB-F28DF8693EDB}"/>
  <tableColumns count="4">
    <tableColumn id="1" xr3:uid="{DE6B4444-23E6-4FDE-B093-0E058C3DF2B6}" name="Statistic"/>
    <tableColumn id="2" xr3:uid="{DB2F2983-403E-46CC-BF2D-DD39176F7BC6}" name="Wait" dataDxfId="2">
      <calculatedColumnFormula>MAX(Table1[Wait])</calculatedColumnFormula>
    </tableColumn>
    <tableColumn id="3" xr3:uid="{2E5089C6-5229-4DE1-81AA-1FA9667C8F21}" name="Idle" dataDxfId="1">
      <calculatedColumnFormula>MAX(Table1[Idle])</calculatedColumnFormula>
    </tableColumn>
    <tableColumn id="4" xr3:uid="{527FFFE9-5C06-4AB0-A750-3CAF6D141635}" name="Transit" dataDxfId="0">
      <calculatedColumnFormula>MAX(Table1[Transit])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C43BD3-FE68-41CF-AB96-F973BEA4560E}" name="Table15" displayName="Table15" ref="A1:N27" totalsRowShown="0">
  <autoFilter ref="A1:N27" xr:uid="{41144B02-F783-4812-95E0-751916B51BD0}"/>
  <tableColumns count="14">
    <tableColumn id="1" xr3:uid="{D533D0FA-5F18-4E34-A7DA-6BE3D2E5342C}" name="N°"/>
    <tableColumn id="10" xr3:uid="{F4CDD2DE-4DF2-4EB2-B4EB-A650CA71F217}" name="RandomArribo(x)"/>
    <tableColumn id="2" xr3:uid="{542B33D9-2CD1-4A82-87DA-93425349D049}" name="Tiempo Entre Arribo"/>
    <tableColumn id="3" xr3:uid="{06A62D52-ED67-40D8-A767-267A67620372}" name="Arribo (Clock)"/>
    <tableColumn id="4" xr3:uid="{EA90D025-212D-4120-8132-CCEF57EB29FA}" name="Inicio de Atención Juan (Clock)"/>
    <tableColumn id="9" xr3:uid="{3FCF0298-A6BA-42C3-8A78-A1306F03D878}" name="Inicio de Atención Facu (Clock)"/>
    <tableColumn id="6" xr3:uid="{3D9D1299-AF63-4DF4-A4CF-CBC53470BBAB}" name="ProbabilidadPreparación(x)"/>
    <tableColumn id="5" xr3:uid="{3F5B0D7C-B4E3-4F4F-A073-13A4F67639D9}" name="Duración de Preparación Juan"/>
    <tableColumn id="11" xr3:uid="{E3A3238C-062D-480E-B80A-7C315602F19C}" name="Duración de Preparación Facu"/>
    <tableColumn id="13" xr3:uid="{F5601D7F-47DE-4976-B9C7-F5C9D38DFDEE}" name="Salida"/>
    <tableColumn id="7" xr3:uid="{AE72381E-6C47-4753-BAF8-E2882AB9A0AF}" name="Ocio Juan"/>
    <tableColumn id="12" xr3:uid="{E7818327-4CA5-4A89-B4E6-F7C0E770B365}" name="Ocio Facu"/>
    <tableColumn id="14" xr3:uid="{45BF0F5B-851C-430E-9CAB-C8B155D3A2D9}" name="Transito" dataDxfId="9">
      <calculatedColumnFormula>SUM(Table15[[#This Row],[Salida]],-Table15[[#This Row],[Arribo (Clock)]])</calculatedColumnFormula>
    </tableColumn>
    <tableColumn id="8" xr3:uid="{81D41C5D-92D1-4DC8-B341-B865B2845198}" name="Espe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FACB6E-5C60-4527-9EE3-7D2CA388CA77}" name="Table26" displayName="Table26" ref="P1:R5" totalsRowShown="0">
  <autoFilter ref="P1:R5" xr:uid="{8289C7F9-5FEA-4CC7-BB9B-7F2E0AF1020C}"/>
  <tableColumns count="3">
    <tableColumn id="1" xr3:uid="{A83F5D0C-D47E-47F0-A815-8FA7B2FA7635}" name="Tiempo Entre Arribo"/>
    <tableColumn id="2" xr3:uid="{991A7021-4C59-4E4A-97E3-C70802783049}" name="P(x)"/>
    <tableColumn id="3" xr3:uid="{4BCB13EA-CAAE-4F74-8875-B74951C701D2}" name="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A988FA-92D7-4AD2-98DF-AA32A27C2C14}" name="Table37" displayName="Table37" ref="P9:R13" totalsRowShown="0">
  <autoFilter ref="P9:R13" xr:uid="{43BFA89B-E913-4FC3-A33C-6F6D043CE390}"/>
  <tableColumns count="3">
    <tableColumn id="1" xr3:uid="{284959BB-8259-479A-92D7-1275D0DC4548}" name="Tiempo de Juan"/>
    <tableColumn id="2" xr3:uid="{5E403540-25A7-40E8-A420-0168BC192F09}" name="P(x)"/>
    <tableColumn id="3" xr3:uid="{10857F79-8818-4F18-BFF8-247909894CE4}" name="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A7FA73-10B7-4D3F-9AEF-596931C8CB2E}" name="Table378" displayName="Table378" ref="P17:R21" totalsRowShown="0">
  <autoFilter ref="P17:R21" xr:uid="{F8A7FA73-10B7-4D3F-9AEF-596931C8CB2E}"/>
  <tableColumns count="3">
    <tableColumn id="1" xr3:uid="{4DEBAD3F-E228-4C7E-9101-C2EA200495A8}" name="Tiempo de Facu"/>
    <tableColumn id="2" xr3:uid="{39DB32E2-FFF9-4F69-9F67-3129AD62F487}" name="P(x)"/>
    <tableColumn id="3" xr3:uid="{89303FDE-327B-4821-9880-E1D80CF8BFAB}" name="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0"/>
  <sheetViews>
    <sheetView tabSelected="1" zoomScale="85" zoomScaleNormal="85" workbookViewId="0">
      <selection activeCell="A10" sqref="A10:XFD10"/>
    </sheetView>
  </sheetViews>
  <sheetFormatPr defaultRowHeight="15" x14ac:dyDescent="0.25"/>
  <cols>
    <col min="1" max="1" width="5.28515625" bestFit="1" customWidth="1"/>
    <col min="2" max="2" width="16.140625" bestFit="1" customWidth="1"/>
    <col min="3" max="3" width="21.28515625" bestFit="1" customWidth="1"/>
    <col min="4" max="4" width="14.7109375" bestFit="1" customWidth="1"/>
    <col min="5" max="5" width="27.140625" bestFit="1" customWidth="1"/>
    <col min="6" max="6" width="16.7109375" bestFit="1" customWidth="1"/>
    <col min="7" max="7" width="23" bestFit="1" customWidth="1"/>
    <col min="8" max="8" width="14.5703125" bestFit="1" customWidth="1"/>
    <col min="9" max="11" width="10.42578125" customWidth="1"/>
    <col min="12" max="12" width="6.5703125" bestFit="1" customWidth="1"/>
    <col min="13" max="13" width="17.5703125" bestFit="1" customWidth="1"/>
    <col min="14" max="14" width="6.85546875" bestFit="1" customWidth="1"/>
    <col min="15" max="15" width="5" bestFit="1" customWidth="1"/>
  </cols>
  <sheetData>
    <row r="1" spans="1:15" x14ac:dyDescent="0.25">
      <c r="A1" t="s">
        <v>9</v>
      </c>
      <c r="B1" t="s">
        <v>31</v>
      </c>
      <c r="C1" t="s">
        <v>0</v>
      </c>
      <c r="D1" t="s">
        <v>22</v>
      </c>
      <c r="E1" t="s">
        <v>23</v>
      </c>
      <c r="F1" t="s">
        <v>32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M1" t="s">
        <v>29</v>
      </c>
      <c r="N1" t="s">
        <v>2</v>
      </c>
      <c r="O1" t="s">
        <v>4</v>
      </c>
    </row>
    <row r="2" spans="1:15" x14ac:dyDescent="0.25">
      <c r="A2">
        <v>1</v>
      </c>
      <c r="B2" t="s">
        <v>33</v>
      </c>
      <c r="C2">
        <v>0</v>
      </c>
      <c r="D2">
        <v>0</v>
      </c>
      <c r="E2">
        <v>0</v>
      </c>
      <c r="F2">
        <v>0.73</v>
      </c>
      <c r="G2" cm="1">
        <f t="array" ref="G2">_xlfn.IFS(Table1[[#This Row],[RandService(x)]]&lt;=O9,M9,Table1[[#This Row],[RandService(x)]]&lt;=O10,M10,Table1[[#This Row],[RandService(x)]]&lt;=O11,M11,Table1[[#This Row],[RandService(x)]]&lt;=O12,M12)</f>
        <v>13</v>
      </c>
      <c r="H2">
        <f>SUM(Table1[[#This Row],[InspDuration]],Table1[[#This Row],[StartService(Clock)]])</f>
        <v>13</v>
      </c>
      <c r="I2">
        <v>0</v>
      </c>
      <c r="J2">
        <f>SUM(Table1[[#This Row],[Out (Clock)]],-Table1[[#This Row],[Spawn (Clock)]])</f>
        <v>13</v>
      </c>
      <c r="K2">
        <v>0</v>
      </c>
      <c r="M2">
        <v>10</v>
      </c>
      <c r="N2">
        <v>0.35</v>
      </c>
      <c r="O2">
        <v>0.35</v>
      </c>
    </row>
    <row r="3" spans="1:15" x14ac:dyDescent="0.25">
      <c r="A3">
        <v>2</v>
      </c>
      <c r="B3">
        <v>0.92</v>
      </c>
      <c r="C3" cm="1">
        <f t="array" ref="C3">_xlfn.IFS(Table1[[#This Row],[RandArrival(x)]]&lt;=O2,M2,Table1[[#This Row],[RandArrival(x)]]&lt;=O3,M3,Table1[[#This Row],[RandArrival(x)]]&lt;=O4,M4)</f>
        <v>17</v>
      </c>
      <c r="D3">
        <f>SUM(Table1[[#This Row],[Tiempo entre arribo]],D2)</f>
        <v>17</v>
      </c>
      <c r="E3">
        <f>IF(H2&gt;=Table1[[#This Row],[Spawn (Clock)]],H2,Table1[[#This Row],[Spawn (Clock)]])</f>
        <v>17</v>
      </c>
      <c r="F3">
        <v>0.92</v>
      </c>
      <c r="G3" cm="1">
        <f t="array" ref="G3">_xlfn.IFS(Table1[[#This Row],[RandService(x)]]&lt;=O9,M9,Table1[[#This Row],[RandService(x)]]&lt;=O10,M10,Table1[[#This Row],[RandService(x)]]&lt;=O11,M11,Table1[[#This Row],[RandService(x)]]&lt;=O12,M12)</f>
        <v>15</v>
      </c>
      <c r="H3">
        <f>SUM(Table1[[#This Row],[InspDuration]],Table1[[#This Row],[StartService(Clock)]])</f>
        <v>32</v>
      </c>
      <c r="I3">
        <f>IF(H2&lt;Table1[[#This Row],[Spawn (Clock)]],Table1[[#This Row],[Spawn (Clock)]]-H2,0)</f>
        <v>4</v>
      </c>
      <c r="J3">
        <f>SUM(Table1[[#This Row],[Out (Clock)]],-Table1[[#This Row],[Spawn (Clock)]])</f>
        <v>15</v>
      </c>
      <c r="K3">
        <f>IF(H2&gt;Table1[[#This Row],[Spawn (Clock)]],H2-Table1[[#This Row],[Spawn (Clock)]],0)</f>
        <v>0</v>
      </c>
      <c r="M3">
        <v>15</v>
      </c>
      <c r="N3">
        <v>0.45</v>
      </c>
      <c r="O3">
        <v>0.8</v>
      </c>
    </row>
    <row r="4" spans="1:15" x14ac:dyDescent="0.25">
      <c r="A4">
        <v>3</v>
      </c>
      <c r="B4">
        <v>0.67</v>
      </c>
      <c r="C4" cm="1">
        <f t="array" ref="C4">_xlfn.IFS(Table1[[#This Row],[RandArrival(x)]]&lt;=O2,M2,Table1[[#This Row],[RandArrival(x)]]&lt;=O3,M3,Table1[[#This Row],[RandArrival(x)]]&lt;=O4,M4)</f>
        <v>15</v>
      </c>
      <c r="D4">
        <f>SUM(Table1[[#This Row],[Tiempo entre arribo]],D3)</f>
        <v>32</v>
      </c>
      <c r="E4">
        <f>IF(H3&gt;=Table1[[#This Row],[Spawn (Clock)]],H3,Table1[[#This Row],[Spawn (Clock)]])</f>
        <v>32</v>
      </c>
      <c r="F4">
        <v>7.0000000000000007E-2</v>
      </c>
      <c r="G4" cm="1">
        <f t="array" ref="G4">_xlfn.IFS(Table1[[#This Row],[RandService(x)]]&lt;=O9,M9,Table1[[#This Row],[RandService(x)]]&lt;=O10,M10,Table1[[#This Row],[RandService(x)]]&lt;=O11,M11,Table1[[#This Row],[RandService(x)]]&lt;=O12,M12)</f>
        <v>8</v>
      </c>
      <c r="H4">
        <f>SUM(Table1[[#This Row],[InspDuration]],Table1[[#This Row],[StartService(Clock)]])</f>
        <v>40</v>
      </c>
      <c r="I4">
        <f>IF(H3&lt;Table1[[#This Row],[Spawn (Clock)]],Table1[[#This Row],[Spawn (Clock)]]-H3,0)</f>
        <v>0</v>
      </c>
      <c r="J4">
        <f>SUM(Table1[[#This Row],[Out (Clock)]],-Table1[[#This Row],[Spawn (Clock)]])</f>
        <v>8</v>
      </c>
      <c r="K4">
        <f>IF(H3&gt;Table1[[#This Row],[Spawn (Clock)]],H3-Table1[[#This Row],[Spawn (Clock)]],0)</f>
        <v>0</v>
      </c>
      <c r="M4">
        <v>17</v>
      </c>
      <c r="N4">
        <v>0.2</v>
      </c>
      <c r="O4">
        <v>1</v>
      </c>
    </row>
    <row r="5" spans="1:15" x14ac:dyDescent="0.25">
      <c r="A5">
        <v>4</v>
      </c>
      <c r="B5">
        <v>0.02</v>
      </c>
      <c r="C5" cm="1">
        <f t="array" ref="C5">_xlfn.IFS(Table1[[#This Row],[RandArrival(x)]]&lt;=O2,M2,Table1[[#This Row],[RandArrival(x)]]&lt;=O3,M3,Table1[[#This Row],[RandArrival(x)]]&lt;=O4,M4)</f>
        <v>10</v>
      </c>
      <c r="D5">
        <f>SUM(Table1[[#This Row],[Tiempo entre arribo]],D4)</f>
        <v>42</v>
      </c>
      <c r="E5">
        <f>IF(H4&gt;=Table1[[#This Row],[Spawn (Clock)]],H4,Table1[[#This Row],[Spawn (Clock)]])</f>
        <v>42</v>
      </c>
      <c r="F5">
        <v>0.97</v>
      </c>
      <c r="G5" cm="1">
        <f t="array" ref="G5">_xlfn.IFS(Table1[[#This Row],[RandService(x)]]&lt;=O9,M9,Table1[[#This Row],[RandService(x)]]&lt;=O10,M10,Table1[[#This Row],[RandService(x)]]&lt;=O11,M11,Table1[[#This Row],[RandService(x)]]&lt;=O12,M12)</f>
        <v>15</v>
      </c>
      <c r="H5">
        <f>SUM(Table1[[#This Row],[InspDuration]],Table1[[#This Row],[StartService(Clock)]])</f>
        <v>57</v>
      </c>
      <c r="I5">
        <f>IF(H4&lt;Table1[[#This Row],[Spawn (Clock)]],Table1[[#This Row],[Spawn (Clock)]]-H4,0)</f>
        <v>2</v>
      </c>
      <c r="J5">
        <f>SUM(Table1[[#This Row],[Out (Clock)]],-Table1[[#This Row],[Spawn (Clock)]])</f>
        <v>15</v>
      </c>
      <c r="K5">
        <f>IF(H4&gt;Table1[[#This Row],[Spawn (Clock)]],H4-Table1[[#This Row],[Spawn (Clock)]],0)</f>
        <v>0</v>
      </c>
    </row>
    <row r="6" spans="1:15" x14ac:dyDescent="0.25">
      <c r="A6">
        <v>5</v>
      </c>
      <c r="B6">
        <v>0.80500000000000005</v>
      </c>
      <c r="C6" cm="1">
        <f t="array" ref="C6">_xlfn.IFS(Table1[[#This Row],[RandArrival(x)]]&lt;=O2,M2,Table1[[#This Row],[RandArrival(x)]]&lt;=O3,M3,Table1[[#This Row],[RandArrival(x)]]&lt;=O4,M4)</f>
        <v>17</v>
      </c>
      <c r="D6">
        <f>SUM(Table1[[#This Row],[Tiempo entre arribo]],D5)</f>
        <v>59</v>
      </c>
      <c r="E6">
        <f>IF(H5&gt;=Table1[[#This Row],[Spawn (Clock)]],H5,Table1[[#This Row],[Spawn (Clock)]])</f>
        <v>59</v>
      </c>
      <c r="F6">
        <v>0.15</v>
      </c>
      <c r="G6" cm="1">
        <f t="array" ref="G6">_xlfn.IFS(Table1[[#This Row],[RandService(x)]]&lt;=O9,M9,Table1[[#This Row],[RandService(x)]]&lt;=O10,M10,Table1[[#This Row],[RandService(x)]]&lt;=O11,M11,Table1[[#This Row],[RandService(x)]]&lt;=O12,M12)</f>
        <v>8</v>
      </c>
      <c r="H6">
        <f>SUM(Table1[[#This Row],[InspDuration]],Table1[[#This Row],[StartService(Clock)]])</f>
        <v>67</v>
      </c>
      <c r="I6">
        <f>IF(H5&lt;Table1[[#This Row],[Spawn (Clock)]],Table1[[#This Row],[Spawn (Clock)]]-H5,0)</f>
        <v>2</v>
      </c>
      <c r="J6">
        <f>SUM(Table1[[#This Row],[Out (Clock)]],-Table1[[#This Row],[Spawn (Clock)]])</f>
        <v>8</v>
      </c>
      <c r="K6">
        <f>IF(H5&gt;Table1[[#This Row],[Spawn (Clock)]],H5-Table1[[#This Row],[Spawn (Clock)]],0)</f>
        <v>0</v>
      </c>
    </row>
    <row r="7" spans="1:15" x14ac:dyDescent="0.25">
      <c r="A7">
        <v>6</v>
      </c>
      <c r="B7">
        <v>0.92</v>
      </c>
      <c r="C7" cm="1">
        <f t="array" ref="C7">_xlfn.IFS(Table1[[#This Row],[RandArrival(x)]]&lt;=O2,M2,Table1[[#This Row],[RandArrival(x)]]&lt;=O3,M3,Table1[[#This Row],[RandArrival(x)]]&lt;=O4,M4)</f>
        <v>17</v>
      </c>
      <c r="D7">
        <f>SUM(Table1[[#This Row],[Tiempo entre arribo]],D6)</f>
        <v>76</v>
      </c>
      <c r="E7">
        <f>IF(H6&gt;=Table1[[#This Row],[Spawn (Clock)]],H6,Table1[[#This Row],[Spawn (Clock)]])</f>
        <v>76</v>
      </c>
      <c r="F7">
        <v>0.76</v>
      </c>
      <c r="G7" cm="1">
        <f t="array" ref="G7">_xlfn.IFS(Table1[[#This Row],[RandService(x)]]&lt;=O9,M9,Table1[[#This Row],[RandService(x)]]&lt;=O10,M10,Table1[[#This Row],[RandService(x)]]&lt;=O11,M11,Table1[[#This Row],[RandService(x)]]&lt;=O12,M12)</f>
        <v>13</v>
      </c>
      <c r="H7">
        <f>SUM(Table1[[#This Row],[InspDuration]],Table1[[#This Row],[StartService(Clock)]])</f>
        <v>89</v>
      </c>
      <c r="I7">
        <f>IF(H6&lt;Table1[[#This Row],[Spawn (Clock)]],Table1[[#This Row],[Spawn (Clock)]]-H6,0)</f>
        <v>9</v>
      </c>
      <c r="J7">
        <f>SUM(Table1[[#This Row],[Out (Clock)]],-Table1[[#This Row],[Spawn (Clock)]])</f>
        <v>13</v>
      </c>
      <c r="K7">
        <f>IF(H6&gt;Table1[[#This Row],[Spawn (Clock)]],H6-Table1[[#This Row],[Spawn (Clock)]],0)</f>
        <v>0</v>
      </c>
    </row>
    <row r="8" spans="1:15" x14ac:dyDescent="0.25">
      <c r="A8">
        <v>7</v>
      </c>
      <c r="B8">
        <v>0</v>
      </c>
      <c r="C8" cm="1">
        <f t="array" ref="C8">_xlfn.IFS(Table1[[#This Row],[RandArrival(x)]]&lt;=O2,M2,Table1[[#This Row],[RandArrival(x)]]&lt;=O3,M3,Table1[[#This Row],[RandArrival(x)]]&lt;=O4,M4)</f>
        <v>10</v>
      </c>
      <c r="D8">
        <f>SUM(Table1[[#This Row],[Tiempo entre arribo]],D7)</f>
        <v>86</v>
      </c>
      <c r="E8">
        <f>IF(H7&gt;=Table1[[#This Row],[Spawn (Clock)]],H7,Table1[[#This Row],[Spawn (Clock)]])</f>
        <v>89</v>
      </c>
      <c r="F8">
        <v>0.96</v>
      </c>
      <c r="G8" cm="1">
        <f t="array" ref="G8">_xlfn.IFS(Table1[[#This Row],[RandService(x)]]&lt;=O9,M9,Table1[[#This Row],[RandService(x)]]&lt;=O10,M10,Table1[[#This Row],[RandService(x)]]&lt;=O11,M11,Table1[[#This Row],[RandService(x)]]&lt;=O12,M12)</f>
        <v>15</v>
      </c>
      <c r="H8">
        <f>SUM(Table1[[#This Row],[InspDuration]],Table1[[#This Row],[StartService(Clock)]])</f>
        <v>104</v>
      </c>
      <c r="I8">
        <f>IF(H7&lt;Table1[[#This Row],[Spawn (Clock)]],Table1[[#This Row],[Spawn (Clock)]]-H7,0)</f>
        <v>0</v>
      </c>
      <c r="J8">
        <f>SUM(Table1[[#This Row],[Out (Clock)]],-Table1[[#This Row],[Spawn (Clock)]])</f>
        <v>18</v>
      </c>
      <c r="K8">
        <f>IF(H7&gt;Table1[[#This Row],[Spawn (Clock)]],H7-Table1[[#This Row],[Spawn (Clock)]],0)</f>
        <v>3</v>
      </c>
      <c r="M8" t="s">
        <v>30</v>
      </c>
      <c r="N8" t="s">
        <v>2</v>
      </c>
      <c r="O8" t="s">
        <v>4</v>
      </c>
    </row>
    <row r="9" spans="1:15" x14ac:dyDescent="0.25">
      <c r="A9">
        <v>8</v>
      </c>
      <c r="B9">
        <v>0.73</v>
      </c>
      <c r="C9" cm="1">
        <f t="array" ref="C9">_xlfn.IFS(Table1[[#This Row],[RandArrival(x)]]&lt;=O2,M2,Table1[[#This Row],[RandArrival(x)]]&lt;=O3,M3,Table1[[#This Row],[RandArrival(x)]]&lt;=O4,M4)</f>
        <v>15</v>
      </c>
      <c r="D9">
        <f>SUM(Table1[[#This Row],[Tiempo entre arribo]],D8)</f>
        <v>101</v>
      </c>
      <c r="E9">
        <f>IF(H8&gt;=Table1[[#This Row],[Spawn (Clock)]],H8,Table1[[#This Row],[Spawn (Clock)]])</f>
        <v>104</v>
      </c>
      <c r="F9">
        <v>0.19</v>
      </c>
      <c r="G9" cm="1">
        <f t="array" ref="G9">_xlfn.IFS(Table1[[#This Row],[RandService(x)]]&lt;=O9,M9,Table1[[#This Row],[RandService(x)]]&lt;=O10,M10,Table1[[#This Row],[RandService(x)]]&lt;=O11,M11,Table1[[#This Row],[RandService(x)]]&lt;=O12,M12)</f>
        <v>8</v>
      </c>
      <c r="H9">
        <f>SUM(Table1[[#This Row],[InspDuration]],Table1[[#This Row],[StartService(Clock)]])</f>
        <v>112</v>
      </c>
      <c r="I9">
        <f>IF(H8&lt;Table1[[#This Row],[Spawn (Clock)]],Table1[[#This Row],[Spawn (Clock)]]-H8,0)</f>
        <v>0</v>
      </c>
      <c r="J9">
        <f>SUM(Table1[[#This Row],[Out (Clock)]],-Table1[[#This Row],[Spawn (Clock)]])</f>
        <v>11</v>
      </c>
      <c r="K9">
        <f>IF(H8&gt;Table1[[#This Row],[Spawn (Clock)]],H8-Table1[[#This Row],[Spawn (Clock)]],0)</f>
        <v>3</v>
      </c>
      <c r="M9">
        <v>8</v>
      </c>
      <c r="N9">
        <v>0.38</v>
      </c>
      <c r="O9">
        <v>0.38</v>
      </c>
    </row>
    <row r="10" spans="1:15" x14ac:dyDescent="0.25">
      <c r="A10">
        <v>9</v>
      </c>
      <c r="B10">
        <v>0.82</v>
      </c>
      <c r="C10" cm="1">
        <f t="array" ref="C10">_xlfn.IFS(Table1[[#This Row],[RandArrival(x)]]&lt;=O2,M2,Table1[[#This Row],[RandArrival(x)]]&lt;=O3,M3,Table1[[#This Row],[RandArrival(x)]]&lt;=O4,M4)</f>
        <v>17</v>
      </c>
      <c r="D10">
        <f>SUM(Table1[[#This Row],[Tiempo entre arribo]],D9)</f>
        <v>118</v>
      </c>
      <c r="E10">
        <f>IF(H9&gt;=Table1[[#This Row],[Spawn (Clock)]],H9,Table1[[#This Row],[Spawn (Clock)]])</f>
        <v>118</v>
      </c>
      <c r="F10">
        <v>0.33</v>
      </c>
      <c r="G10" cm="1">
        <f t="array" ref="G10">_xlfn.IFS(Table1[[#This Row],[RandService(x)]]&lt;=O9,M9,Table1[[#This Row],[RandService(x)]]&lt;=O10,M10,Table1[[#This Row],[RandService(x)]]&lt;=O11,M11,Table1[[#This Row],[RandService(x)]]&lt;=O12,M12)</f>
        <v>8</v>
      </c>
      <c r="H10">
        <f>SUM(Table1[[#This Row],[InspDuration]],Table1[[#This Row],[StartService(Clock)]])</f>
        <v>126</v>
      </c>
      <c r="I10">
        <f>IF(H9&lt;Table1[[#This Row],[Spawn (Clock)]],Table1[[#This Row],[Spawn (Clock)]]-H9,0)</f>
        <v>6</v>
      </c>
      <c r="J10">
        <f>SUM(Table1[[#This Row],[Out (Clock)]],-Table1[[#This Row],[Spawn (Clock)]])</f>
        <v>8</v>
      </c>
      <c r="K10">
        <f>IF(H9&gt;Table1[[#This Row],[Spawn (Clock)]],H9-Table1[[#This Row],[Spawn (Clock)]],0)</f>
        <v>0</v>
      </c>
      <c r="M10">
        <v>10</v>
      </c>
      <c r="N10">
        <v>0.32</v>
      </c>
      <c r="O10">
        <v>0.7</v>
      </c>
    </row>
    <row r="11" spans="1:15" x14ac:dyDescent="0.25">
      <c r="A11">
        <v>10</v>
      </c>
      <c r="B11">
        <v>0.75</v>
      </c>
      <c r="C11" cm="1">
        <f t="array" ref="C11">_xlfn.IFS(Table1[[#This Row],[RandArrival(x)]]&lt;=O2,M2,Table1[[#This Row],[RandArrival(x)]]&lt;=O3,M3,Table1[[#This Row],[RandArrival(x)]]&lt;=O4,M4)</f>
        <v>15</v>
      </c>
      <c r="D11">
        <f>SUM(Table1[[#This Row],[Tiempo entre arribo]],D10)</f>
        <v>133</v>
      </c>
      <c r="E11">
        <f>IF(H10&gt;=Table1[[#This Row],[Spawn (Clock)]],H10,Table1[[#This Row],[Spawn (Clock)]])</f>
        <v>133</v>
      </c>
      <c r="G11" cm="1">
        <f t="array" ref="G11">_xlfn.IFS(Table1[[#This Row],[RandService(x)]]&lt;=O9,M9,Table1[[#This Row],[RandService(x)]]&lt;=O10,M10,Table1[[#This Row],[RandService(x)]]&lt;=O11,M11,Table1[[#This Row],[RandService(x)]]&lt;=O12,M12)</f>
        <v>8</v>
      </c>
      <c r="H11">
        <f>SUM(Table1[[#This Row],[InspDuration]],Table1[[#This Row],[StartService(Clock)]])</f>
        <v>141</v>
      </c>
      <c r="I11">
        <f>IF(H10&lt;Table1[[#This Row],[Spawn (Clock)]],Table1[[#This Row],[Spawn (Clock)]]-H10,0)</f>
        <v>7</v>
      </c>
      <c r="J11">
        <f>SUM(Table1[[#This Row],[Out (Clock)]],-Table1[[#This Row],[Spawn (Clock)]])</f>
        <v>8</v>
      </c>
      <c r="K11">
        <f>IF(H10&gt;Table1[[#This Row],[Spawn (Clock)]],H10-Table1[[#This Row],[Spawn (Clock)]],0)</f>
        <v>0</v>
      </c>
      <c r="M11">
        <v>13</v>
      </c>
      <c r="N11">
        <v>0.1</v>
      </c>
      <c r="O11">
        <v>0.8</v>
      </c>
    </row>
    <row r="12" spans="1:15" x14ac:dyDescent="0.25">
      <c r="A12">
        <v>11</v>
      </c>
      <c r="C12" cm="1">
        <f t="array" ref="C12">_xlfn.IFS(Table1[[#This Row],[RandArrival(x)]]&lt;=O2,M2,Table1[[#This Row],[RandArrival(x)]]&lt;=O3,M3,Table1[[#This Row],[RandArrival(x)]]&lt;=O4,M4)</f>
        <v>10</v>
      </c>
      <c r="D12">
        <f>SUM(Table1[[#This Row],[Tiempo entre arribo]],D11)</f>
        <v>143</v>
      </c>
      <c r="E12">
        <f>IF(H11&gt;=Table1[[#This Row],[Spawn (Clock)]],H11,Table1[[#This Row],[Spawn (Clock)]])</f>
        <v>143</v>
      </c>
      <c r="G12" cm="1">
        <f t="array" ref="G12">_xlfn.IFS(Table1[[#This Row],[RandService(x)]]&lt;=O9,M9,Table1[[#This Row],[RandService(x)]]&lt;=O10,M10,Table1[[#This Row],[RandService(x)]]&lt;=O11,M11,Table1[[#This Row],[RandService(x)]]&lt;=O12,M12)</f>
        <v>8</v>
      </c>
      <c r="H12">
        <f>SUM(Table1[[#This Row],[InspDuration]],Table1[[#This Row],[StartService(Clock)]])</f>
        <v>151</v>
      </c>
      <c r="I12">
        <f>IF(H11&lt;Table1[[#This Row],[Spawn (Clock)]],Table1[[#This Row],[Spawn (Clock)]]-H11,0)</f>
        <v>2</v>
      </c>
      <c r="J12">
        <f>SUM(Table1[[#This Row],[Out (Clock)]],-Table1[[#This Row],[Spawn (Clock)]])</f>
        <v>8</v>
      </c>
      <c r="K12">
        <f>IF(H11&gt;Table1[[#This Row],[Spawn (Clock)]],H11-Table1[[#This Row],[Spawn (Clock)]],0)</f>
        <v>0</v>
      </c>
      <c r="M12">
        <v>15</v>
      </c>
      <c r="N12">
        <v>0.2</v>
      </c>
      <c r="O12">
        <v>1</v>
      </c>
    </row>
    <row r="13" spans="1:15" x14ac:dyDescent="0.25">
      <c r="A13">
        <v>12</v>
      </c>
      <c r="C13" cm="1">
        <f t="array" ref="C13">_xlfn.IFS(Table1[[#This Row],[RandArrival(x)]]&lt;=O2,M2,Table1[[#This Row],[RandArrival(x)]]&lt;=O3,M3,Table1[[#This Row],[RandArrival(x)]]&lt;=O4,M4)</f>
        <v>10</v>
      </c>
      <c r="D13">
        <f>SUM(Table1[[#This Row],[Tiempo entre arribo]],D12)</f>
        <v>153</v>
      </c>
      <c r="E13">
        <f>IF(H12&gt;=Table1[[#This Row],[Spawn (Clock)]],H12,Table1[[#This Row],[Spawn (Clock)]])</f>
        <v>153</v>
      </c>
      <c r="G13" cm="1">
        <f t="array" ref="G13">_xlfn.IFS(Table1[[#This Row],[RandService(x)]]&lt;=O9,M9,Table1[[#This Row],[RandService(x)]]&lt;=O10,M10,Table1[[#This Row],[RandService(x)]]&lt;=O11,M11,Table1[[#This Row],[RandService(x)]]&lt;=O12,M12)</f>
        <v>8</v>
      </c>
      <c r="H13">
        <f>SUM(Table1[[#This Row],[InspDuration]],Table1[[#This Row],[StartService(Clock)]])</f>
        <v>161</v>
      </c>
      <c r="I13">
        <f>IF(H12&lt;Table1[[#This Row],[Spawn (Clock)]],Table1[[#This Row],[Spawn (Clock)]]-H12,0)</f>
        <v>2</v>
      </c>
      <c r="J13">
        <f>SUM(Table1[[#This Row],[Out (Clock)]],-Table1[[#This Row],[Spawn (Clock)]])</f>
        <v>8</v>
      </c>
      <c r="K13">
        <f>IF(H12&gt;Table1[[#This Row],[Spawn (Clock)]],H12-Table1[[#This Row],[Spawn (Clock)]],0)</f>
        <v>0</v>
      </c>
    </row>
    <row r="14" spans="1:15" x14ac:dyDescent="0.25">
      <c r="A14">
        <v>13</v>
      </c>
      <c r="C14" cm="1">
        <f t="array" ref="C14">_xlfn.IFS(Table1[[#This Row],[RandArrival(x)]]&lt;=O2,M2,Table1[[#This Row],[RandArrival(x)]]&lt;=O3,M3,Table1[[#This Row],[RandArrival(x)]]&lt;=O4,M4)</f>
        <v>10</v>
      </c>
      <c r="D14">
        <f>SUM(Table1[[#This Row],[Tiempo entre arribo]],D13)</f>
        <v>163</v>
      </c>
      <c r="E14">
        <f>IF(H13&gt;=Table1[[#This Row],[Spawn (Clock)]],H13,Table1[[#This Row],[Spawn (Clock)]])</f>
        <v>163</v>
      </c>
      <c r="G14" cm="1">
        <f t="array" ref="G14">_xlfn.IFS(Table1[[#This Row],[RandService(x)]]&lt;=O9,M9,Table1[[#This Row],[RandService(x)]]&lt;=O10,M10,Table1[[#This Row],[RandService(x)]]&lt;=O11,M11,Table1[[#This Row],[RandService(x)]]&lt;=O12,M12)</f>
        <v>8</v>
      </c>
      <c r="H14">
        <f>SUM(Table1[[#This Row],[InspDuration]],Table1[[#This Row],[StartService(Clock)]])</f>
        <v>171</v>
      </c>
      <c r="I14">
        <f>IF(H13&lt;Table1[[#This Row],[Spawn (Clock)]],Table1[[#This Row],[Spawn (Clock)]]-H13,0)</f>
        <v>2</v>
      </c>
      <c r="J14" s="1">
        <f>SUM(Table1[[#This Row],[Out (Clock)]],-Table1[[#This Row],[Spawn (Clock)]])</f>
        <v>8</v>
      </c>
      <c r="K14">
        <f>IF(H13&gt;Table1[[#This Row],[Spawn (Clock)]],H13-Table1[[#This Row],[Spawn (Clock)]],0)</f>
        <v>0</v>
      </c>
    </row>
    <row r="15" spans="1:15" x14ac:dyDescent="0.25">
      <c r="A15">
        <v>14</v>
      </c>
      <c r="C15" cm="1">
        <f t="array" ref="C15">_xlfn.IFS(Table1[[#This Row],[RandArrival(x)]]&lt;=O2,M2,Table1[[#This Row],[RandArrival(x)]]&lt;=O3,M3,Table1[[#This Row],[RandArrival(x)]]&lt;=O4,M4)</f>
        <v>10</v>
      </c>
      <c r="D15">
        <f>SUM(Table1[[#This Row],[Tiempo entre arribo]],D14)</f>
        <v>173</v>
      </c>
      <c r="E15">
        <f>IF(H14&gt;=Table1[[#This Row],[Spawn (Clock)]],H14,Table1[[#This Row],[Spawn (Clock)]])</f>
        <v>173</v>
      </c>
      <c r="G15" cm="1">
        <f t="array" ref="G15">_xlfn.IFS(Table1[[#This Row],[RandService(x)]]&lt;=O9,M9,Table1[[#This Row],[RandService(x)]]&lt;=O10,M10,Table1[[#This Row],[RandService(x)]]&lt;=O11,M11,Table1[[#This Row],[RandService(x)]]&lt;=O12,M12)</f>
        <v>8</v>
      </c>
      <c r="H15">
        <f>SUM(Table1[[#This Row],[InspDuration]],Table1[[#This Row],[StartService(Clock)]])</f>
        <v>181</v>
      </c>
      <c r="I15">
        <f>IF(H14&lt;Table1[[#This Row],[Spawn (Clock)]],Table1[[#This Row],[Spawn (Clock)]]-H14,0)</f>
        <v>2</v>
      </c>
      <c r="J15" s="1">
        <f>SUM(Table1[[#This Row],[Out (Clock)]],-Table1[[#This Row],[Spawn (Clock)]])</f>
        <v>8</v>
      </c>
      <c r="K15">
        <f>IF(H14&gt;Table1[[#This Row],[Spawn (Clock)]],H14-Table1[[#This Row],[Spawn (Clock)]],0)</f>
        <v>0</v>
      </c>
    </row>
    <row r="17" spans="8:11" x14ac:dyDescent="0.25">
      <c r="H17" t="s">
        <v>34</v>
      </c>
      <c r="I17" t="s">
        <v>28</v>
      </c>
      <c r="J17" t="s">
        <v>26</v>
      </c>
      <c r="K17" t="s">
        <v>27</v>
      </c>
    </row>
    <row r="18" spans="8:11" x14ac:dyDescent="0.25">
      <c r="H18" t="s">
        <v>21</v>
      </c>
      <c r="I18">
        <f>MAX(Table1[Wait])</f>
        <v>3</v>
      </c>
      <c r="J18">
        <f>MAX(Table1[Idle])</f>
        <v>9</v>
      </c>
      <c r="K18">
        <f>MAX(Table1[Transit])</f>
        <v>18</v>
      </c>
    </row>
    <row r="19" spans="8:11" x14ac:dyDescent="0.25">
      <c r="H19" t="s">
        <v>35</v>
      </c>
      <c r="I19">
        <f>MIN(Table1[Wait])</f>
        <v>0</v>
      </c>
      <c r="J19">
        <f>MIN(Table1[Idle])</f>
        <v>0</v>
      </c>
      <c r="K19">
        <f>MIN(Table1[Transit])</f>
        <v>8</v>
      </c>
    </row>
    <row r="20" spans="8:11" x14ac:dyDescent="0.25">
      <c r="H20" t="s">
        <v>36</v>
      </c>
    </row>
  </sheetData>
  <phoneticPr fontId="1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099E-E3D4-4CC2-AC26-294D124FA050}">
  <sheetPr codeName="Sheet2"/>
  <dimension ref="A1:R27"/>
  <sheetViews>
    <sheetView zoomScaleNormal="100" workbookViewId="0">
      <selection activeCell="H21" sqref="H21"/>
    </sheetView>
  </sheetViews>
  <sheetFormatPr defaultRowHeight="15" x14ac:dyDescent="0.25"/>
  <cols>
    <col min="1" max="1" width="5.28515625" bestFit="1" customWidth="1"/>
    <col min="2" max="2" width="17.85546875" bestFit="1" customWidth="1"/>
    <col min="3" max="3" width="20.28515625" bestFit="1" customWidth="1"/>
    <col min="4" max="4" width="14.7109375" bestFit="1" customWidth="1"/>
    <col min="5" max="6" width="29.42578125" bestFit="1" customWidth="1"/>
    <col min="7" max="7" width="27.28515625" bestFit="1" customWidth="1"/>
    <col min="8" max="9" width="28.7109375" bestFit="1" customWidth="1"/>
    <col min="10" max="10" width="8.28515625" bestFit="1" customWidth="1"/>
    <col min="11" max="12" width="11.28515625" bestFit="1" customWidth="1"/>
    <col min="15" max="15" width="6.5703125" bestFit="1" customWidth="1"/>
    <col min="16" max="17" width="23" bestFit="1" customWidth="1"/>
    <col min="18" max="18" width="5" bestFit="1" customWidth="1"/>
  </cols>
  <sheetData>
    <row r="1" spans="1:18" x14ac:dyDescent="0.25">
      <c r="A1" t="s">
        <v>9</v>
      </c>
      <c r="B1" t="s">
        <v>6</v>
      </c>
      <c r="C1" t="s">
        <v>3</v>
      </c>
      <c r="D1" t="s">
        <v>1</v>
      </c>
      <c r="E1" t="s">
        <v>10</v>
      </c>
      <c r="F1" t="s">
        <v>11</v>
      </c>
      <c r="G1" t="s">
        <v>17</v>
      </c>
      <c r="H1" t="s">
        <v>12</v>
      </c>
      <c r="I1" t="s">
        <v>13</v>
      </c>
      <c r="J1" t="s">
        <v>7</v>
      </c>
      <c r="K1" t="s">
        <v>18</v>
      </c>
      <c r="L1" t="s">
        <v>19</v>
      </c>
      <c r="M1" t="s">
        <v>8</v>
      </c>
      <c r="N1" t="s">
        <v>5</v>
      </c>
      <c r="P1" t="s">
        <v>3</v>
      </c>
      <c r="Q1" t="s">
        <v>2</v>
      </c>
      <c r="R1" t="s">
        <v>4</v>
      </c>
    </row>
    <row r="2" spans="1:18" x14ac:dyDescent="0.25">
      <c r="A2">
        <v>1</v>
      </c>
      <c r="B2" t="s">
        <v>16</v>
      </c>
      <c r="C2">
        <v>0</v>
      </c>
      <c r="D2">
        <v>0</v>
      </c>
      <c r="E2">
        <v>0</v>
      </c>
      <c r="F2" t="s">
        <v>16</v>
      </c>
      <c r="G2">
        <v>0.5</v>
      </c>
      <c r="H2">
        <v>3</v>
      </c>
      <c r="J2">
        <v>3</v>
      </c>
      <c r="K2">
        <v>0</v>
      </c>
      <c r="L2" t="s">
        <v>16</v>
      </c>
      <c r="M2">
        <f>SUM(Table15[[#This Row],[Salida]],-Table15[[#This Row],[Arribo (Clock)]])</f>
        <v>3</v>
      </c>
      <c r="N2">
        <v>0</v>
      </c>
      <c r="P2">
        <v>1</v>
      </c>
      <c r="Q2">
        <v>0.25</v>
      </c>
      <c r="R2">
        <v>0.25</v>
      </c>
    </row>
    <row r="3" spans="1:18" x14ac:dyDescent="0.25">
      <c r="A3">
        <v>2</v>
      </c>
      <c r="B3">
        <v>0.53</v>
      </c>
      <c r="C3">
        <v>2</v>
      </c>
      <c r="D3">
        <v>2</v>
      </c>
      <c r="E3" t="s">
        <v>16</v>
      </c>
      <c r="F3">
        <v>2</v>
      </c>
      <c r="G3">
        <v>0.71</v>
      </c>
      <c r="H3" t="s">
        <v>16</v>
      </c>
      <c r="I3">
        <v>5</v>
      </c>
      <c r="J3">
        <v>7</v>
      </c>
      <c r="K3" t="s">
        <v>16</v>
      </c>
      <c r="L3">
        <v>2</v>
      </c>
      <c r="M3">
        <f>SUM(Table15[[#This Row],[Salida]],-Table15[[#This Row],[Arribo (Clock)]])</f>
        <v>5</v>
      </c>
      <c r="N3">
        <v>0</v>
      </c>
      <c r="P3">
        <v>2</v>
      </c>
      <c r="Q3">
        <v>0.4</v>
      </c>
      <c r="R3">
        <v>0.65</v>
      </c>
    </row>
    <row r="4" spans="1:18" x14ac:dyDescent="0.25">
      <c r="A4">
        <v>3</v>
      </c>
      <c r="B4">
        <v>0.67</v>
      </c>
      <c r="C4">
        <v>3</v>
      </c>
      <c r="D4">
        <v>5</v>
      </c>
      <c r="E4">
        <v>5</v>
      </c>
      <c r="F4" t="s">
        <v>16</v>
      </c>
      <c r="G4">
        <v>0.89</v>
      </c>
      <c r="H4">
        <v>5</v>
      </c>
      <c r="I4" t="s">
        <v>16</v>
      </c>
      <c r="J4">
        <v>10</v>
      </c>
      <c r="K4">
        <v>0</v>
      </c>
      <c r="L4" t="s">
        <v>16</v>
      </c>
      <c r="M4">
        <f>SUM(Table15[[#This Row],[Salida]],-Table15[[#This Row],[Arribo (Clock)]])</f>
        <v>5</v>
      </c>
      <c r="N4">
        <v>0</v>
      </c>
      <c r="P4">
        <v>3</v>
      </c>
      <c r="Q4">
        <v>0.2</v>
      </c>
      <c r="R4">
        <v>0.85</v>
      </c>
    </row>
    <row r="5" spans="1:18" x14ac:dyDescent="0.25">
      <c r="A5">
        <v>4</v>
      </c>
      <c r="B5">
        <v>0.03</v>
      </c>
      <c r="C5">
        <v>1</v>
      </c>
      <c r="D5">
        <v>6</v>
      </c>
      <c r="E5" t="s">
        <v>16</v>
      </c>
      <c r="F5">
        <v>7</v>
      </c>
      <c r="G5">
        <v>0.19</v>
      </c>
      <c r="H5" t="s">
        <v>16</v>
      </c>
      <c r="I5">
        <v>3</v>
      </c>
      <c r="J5">
        <v>10</v>
      </c>
      <c r="K5" t="s">
        <v>16</v>
      </c>
      <c r="L5">
        <v>0</v>
      </c>
      <c r="M5">
        <f>SUM(Table15[[#This Row],[Salida]],-Table15[[#This Row],[Arribo (Clock)]])</f>
        <v>4</v>
      </c>
      <c r="N5">
        <v>1</v>
      </c>
      <c r="P5">
        <v>4</v>
      </c>
      <c r="Q5">
        <v>0.15</v>
      </c>
      <c r="R5">
        <v>1</v>
      </c>
    </row>
    <row r="6" spans="1:18" x14ac:dyDescent="0.25">
      <c r="A6">
        <v>5</v>
      </c>
      <c r="B6">
        <v>0.08</v>
      </c>
      <c r="C6">
        <v>1</v>
      </c>
      <c r="D6">
        <v>7</v>
      </c>
      <c r="E6">
        <v>10</v>
      </c>
      <c r="F6" t="s">
        <v>16</v>
      </c>
      <c r="G6">
        <v>0.28000000000000003</v>
      </c>
      <c r="H6">
        <v>2</v>
      </c>
      <c r="I6" t="s">
        <v>16</v>
      </c>
      <c r="J6">
        <v>12</v>
      </c>
      <c r="K6">
        <v>0</v>
      </c>
      <c r="L6" t="s">
        <v>16</v>
      </c>
      <c r="M6">
        <f>SUM(Table15[[#This Row],[Salida]],-Table15[[#This Row],[Arribo (Clock)]])</f>
        <v>5</v>
      </c>
      <c r="N6">
        <v>3</v>
      </c>
    </row>
    <row r="7" spans="1:18" x14ac:dyDescent="0.25">
      <c r="A7">
        <v>6</v>
      </c>
      <c r="B7">
        <v>0.59</v>
      </c>
      <c r="C7">
        <v>2</v>
      </c>
      <c r="D7">
        <v>9</v>
      </c>
      <c r="E7" t="s">
        <v>16</v>
      </c>
      <c r="F7">
        <v>10</v>
      </c>
      <c r="G7">
        <v>0.86</v>
      </c>
      <c r="H7" t="s">
        <v>16</v>
      </c>
      <c r="I7">
        <v>6</v>
      </c>
      <c r="J7">
        <v>16</v>
      </c>
      <c r="K7" t="s">
        <v>16</v>
      </c>
      <c r="L7">
        <v>0</v>
      </c>
      <c r="M7">
        <f>SUM(Table15[[#This Row],[Salida]],-Table15[[#This Row],[Arribo (Clock)]])</f>
        <v>7</v>
      </c>
      <c r="N7">
        <v>1</v>
      </c>
    </row>
    <row r="8" spans="1:18" x14ac:dyDescent="0.25">
      <c r="A8">
        <v>7</v>
      </c>
      <c r="B8">
        <v>0.82</v>
      </c>
      <c r="C8">
        <v>3</v>
      </c>
      <c r="D8">
        <v>12</v>
      </c>
      <c r="E8">
        <v>12</v>
      </c>
      <c r="F8" t="s">
        <v>16</v>
      </c>
      <c r="G8">
        <v>0.55000000000000004</v>
      </c>
      <c r="H8">
        <v>3</v>
      </c>
      <c r="I8" t="s">
        <v>16</v>
      </c>
      <c r="J8">
        <v>15</v>
      </c>
      <c r="K8">
        <v>0</v>
      </c>
      <c r="L8" t="s">
        <v>16</v>
      </c>
      <c r="M8">
        <f>SUM(Table15[[#This Row],[Salida]],-Table15[[#This Row],[Arribo (Clock)]])</f>
        <v>3</v>
      </c>
      <c r="N8">
        <v>0</v>
      </c>
    </row>
    <row r="9" spans="1:18" x14ac:dyDescent="0.25">
      <c r="A9">
        <v>8</v>
      </c>
      <c r="B9">
        <v>0.16</v>
      </c>
      <c r="C9">
        <v>1</v>
      </c>
      <c r="D9">
        <v>13</v>
      </c>
      <c r="E9">
        <v>15</v>
      </c>
      <c r="F9" t="s">
        <v>16</v>
      </c>
      <c r="G9">
        <v>0.23</v>
      </c>
      <c r="H9">
        <v>2</v>
      </c>
      <c r="I9" t="s">
        <v>16</v>
      </c>
      <c r="J9">
        <v>17</v>
      </c>
      <c r="K9">
        <v>0</v>
      </c>
      <c r="L9" t="s">
        <v>16</v>
      </c>
      <c r="M9">
        <f>SUM(Table15[[#This Row],[Salida]],-Table15[[#This Row],[Arribo (Clock)]])</f>
        <v>4</v>
      </c>
      <c r="N9">
        <v>2</v>
      </c>
      <c r="P9" t="s">
        <v>14</v>
      </c>
      <c r="Q9" t="s">
        <v>2</v>
      </c>
      <c r="R9" t="s">
        <v>4</v>
      </c>
    </row>
    <row r="10" spans="1:18" x14ac:dyDescent="0.25">
      <c r="A10">
        <v>9</v>
      </c>
      <c r="B10">
        <v>0.87</v>
      </c>
      <c r="C10">
        <v>4</v>
      </c>
      <c r="D10">
        <v>17</v>
      </c>
      <c r="E10">
        <v>17</v>
      </c>
      <c r="F10" t="s">
        <v>16</v>
      </c>
      <c r="G10">
        <v>0.18</v>
      </c>
      <c r="H10">
        <v>2</v>
      </c>
      <c r="I10" t="s">
        <v>16</v>
      </c>
      <c r="J10">
        <v>19</v>
      </c>
      <c r="K10">
        <v>0</v>
      </c>
      <c r="L10" t="s">
        <v>16</v>
      </c>
      <c r="M10">
        <f>SUM(Table15[[#This Row],[Salida]],-Table15[[#This Row],[Arribo (Clock)]])</f>
        <v>2</v>
      </c>
      <c r="N10">
        <v>0</v>
      </c>
      <c r="P10">
        <v>2</v>
      </c>
      <c r="Q10">
        <v>0.3</v>
      </c>
      <c r="R10">
        <v>0.3</v>
      </c>
    </row>
    <row r="11" spans="1:18" x14ac:dyDescent="0.25">
      <c r="A11">
        <v>10</v>
      </c>
      <c r="B11">
        <v>0.28999999999999998</v>
      </c>
      <c r="C11">
        <v>2</v>
      </c>
      <c r="D11">
        <v>19</v>
      </c>
      <c r="E11">
        <v>19</v>
      </c>
      <c r="F11" t="s">
        <v>16</v>
      </c>
      <c r="G11">
        <v>0.85</v>
      </c>
      <c r="H11">
        <v>5</v>
      </c>
      <c r="I11" t="s">
        <v>16</v>
      </c>
      <c r="J11">
        <v>24</v>
      </c>
      <c r="K11">
        <v>0</v>
      </c>
      <c r="L11" t="s">
        <v>16</v>
      </c>
      <c r="M11">
        <f>SUM(Table15[[#This Row],[Salida]],-Table15[[#This Row],[Arribo (Clock)]])</f>
        <v>5</v>
      </c>
      <c r="N11">
        <v>0</v>
      </c>
      <c r="P11">
        <v>3</v>
      </c>
      <c r="Q11">
        <v>0.28000000000000003</v>
      </c>
      <c r="R11">
        <v>0.57999999999999996</v>
      </c>
    </row>
    <row r="12" spans="1:18" x14ac:dyDescent="0.25">
      <c r="A12">
        <v>11</v>
      </c>
      <c r="B12">
        <v>0.48</v>
      </c>
      <c r="C12">
        <v>2</v>
      </c>
      <c r="D12">
        <v>21</v>
      </c>
      <c r="E12" t="s">
        <v>16</v>
      </c>
      <c r="F12">
        <v>21</v>
      </c>
      <c r="G12">
        <v>0.39</v>
      </c>
      <c r="H12" t="s">
        <v>16</v>
      </c>
      <c r="I12">
        <v>4</v>
      </c>
      <c r="J12">
        <v>25</v>
      </c>
      <c r="K12" t="s">
        <v>16</v>
      </c>
      <c r="L12">
        <v>5</v>
      </c>
      <c r="M12">
        <f>SUM(Table15[[#This Row],[Salida]],-Table15[[#This Row],[Arribo (Clock)]])</f>
        <v>4</v>
      </c>
      <c r="N12">
        <v>0</v>
      </c>
      <c r="P12">
        <v>4</v>
      </c>
      <c r="Q12">
        <v>0.25</v>
      </c>
      <c r="R12">
        <v>0.83</v>
      </c>
    </row>
    <row r="13" spans="1:18" x14ac:dyDescent="0.25">
      <c r="A13">
        <v>12</v>
      </c>
      <c r="B13">
        <v>0.84</v>
      </c>
      <c r="C13">
        <v>3</v>
      </c>
      <c r="D13">
        <v>24</v>
      </c>
      <c r="E13">
        <v>24</v>
      </c>
      <c r="F13" t="s">
        <v>16</v>
      </c>
      <c r="G13">
        <v>0.93</v>
      </c>
      <c r="H13">
        <v>5</v>
      </c>
      <c r="I13" t="s">
        <v>16</v>
      </c>
      <c r="J13">
        <v>29</v>
      </c>
      <c r="K13">
        <v>0</v>
      </c>
      <c r="L13" t="s">
        <v>16</v>
      </c>
      <c r="M13">
        <f>SUM(Table15[[#This Row],[Salida]],-Table15[[#This Row],[Arribo (Clock)]])</f>
        <v>5</v>
      </c>
      <c r="N13">
        <v>0</v>
      </c>
      <c r="P13">
        <v>5</v>
      </c>
      <c r="Q13">
        <v>0.17</v>
      </c>
      <c r="R13">
        <v>1</v>
      </c>
    </row>
    <row r="14" spans="1:18" x14ac:dyDescent="0.25">
      <c r="A14">
        <v>13</v>
      </c>
      <c r="B14">
        <v>0.46</v>
      </c>
      <c r="C14">
        <v>2</v>
      </c>
      <c r="D14">
        <v>26</v>
      </c>
      <c r="E14" t="s">
        <v>16</v>
      </c>
      <c r="F14">
        <v>26</v>
      </c>
      <c r="G14">
        <v>0.7</v>
      </c>
      <c r="H14" t="s">
        <v>16</v>
      </c>
      <c r="I14">
        <v>5</v>
      </c>
      <c r="J14">
        <v>31</v>
      </c>
      <c r="K14" t="s">
        <v>16</v>
      </c>
      <c r="L14">
        <v>1</v>
      </c>
      <c r="M14">
        <f>SUM(Table15[[#This Row],[Salida]],-Table15[[#This Row],[Arribo (Clock)]])</f>
        <v>5</v>
      </c>
    </row>
    <row r="15" spans="1:18" x14ac:dyDescent="0.25">
      <c r="A15">
        <v>14</v>
      </c>
      <c r="B15">
        <v>0.77</v>
      </c>
      <c r="C15">
        <v>3</v>
      </c>
      <c r="D15">
        <v>29</v>
      </c>
      <c r="E15">
        <v>29</v>
      </c>
      <c r="F15" t="s">
        <v>16</v>
      </c>
      <c r="G15">
        <v>0.43</v>
      </c>
      <c r="H15">
        <v>3</v>
      </c>
      <c r="I15" t="s">
        <v>16</v>
      </c>
      <c r="J15">
        <v>32</v>
      </c>
      <c r="K15">
        <v>0</v>
      </c>
      <c r="L15" t="s">
        <v>16</v>
      </c>
      <c r="M15">
        <f>SUM(Table15[[#This Row],[Salida]],-Table15[[#This Row],[Arribo (Clock)]])</f>
        <v>3</v>
      </c>
      <c r="N15">
        <v>0</v>
      </c>
    </row>
    <row r="16" spans="1:18" x14ac:dyDescent="0.25">
      <c r="A16">
        <v>15</v>
      </c>
      <c r="B16">
        <v>0.87</v>
      </c>
      <c r="C16">
        <v>4</v>
      </c>
      <c r="D16">
        <v>33</v>
      </c>
      <c r="E16">
        <v>33</v>
      </c>
      <c r="F16" t="s">
        <v>16</v>
      </c>
      <c r="G16">
        <v>0.35</v>
      </c>
      <c r="H16">
        <v>3</v>
      </c>
      <c r="I16" t="s">
        <v>16</v>
      </c>
      <c r="J16">
        <v>36</v>
      </c>
      <c r="K16">
        <v>1</v>
      </c>
      <c r="L16" t="s">
        <v>16</v>
      </c>
      <c r="M16">
        <f>SUM(Table15[[#This Row],[Salida]],-Table15[[#This Row],[Arribo (Clock)]])</f>
        <v>3</v>
      </c>
      <c r="N16">
        <v>0</v>
      </c>
    </row>
    <row r="17" spans="1:18" x14ac:dyDescent="0.25">
      <c r="A17">
        <v>16</v>
      </c>
      <c r="B17">
        <v>0.49</v>
      </c>
      <c r="C17">
        <v>2</v>
      </c>
      <c r="D17">
        <v>35</v>
      </c>
      <c r="E17" t="s">
        <v>16</v>
      </c>
      <c r="F17">
        <v>35</v>
      </c>
      <c r="G17">
        <v>0.37</v>
      </c>
      <c r="H17" t="s">
        <v>16</v>
      </c>
      <c r="I17">
        <v>4</v>
      </c>
      <c r="J17">
        <v>39</v>
      </c>
      <c r="K17" t="s">
        <v>16</v>
      </c>
      <c r="L17">
        <v>4</v>
      </c>
      <c r="M17">
        <f>SUM(Table15[[#This Row],[Salida]],-Table15[[#This Row],[Arribo (Clock)]])</f>
        <v>4</v>
      </c>
      <c r="N17">
        <v>0</v>
      </c>
      <c r="P17" t="s">
        <v>15</v>
      </c>
      <c r="Q17" t="s">
        <v>2</v>
      </c>
      <c r="R17" t="s">
        <v>4</v>
      </c>
    </row>
    <row r="18" spans="1:18" x14ac:dyDescent="0.25">
      <c r="A18">
        <v>17</v>
      </c>
      <c r="B18">
        <v>0.34</v>
      </c>
      <c r="C18">
        <v>2</v>
      </c>
      <c r="D18">
        <v>37</v>
      </c>
      <c r="E18">
        <v>37</v>
      </c>
      <c r="F18" t="s">
        <v>16</v>
      </c>
      <c r="G18">
        <v>0.96</v>
      </c>
      <c r="H18">
        <v>5</v>
      </c>
      <c r="I18" t="s">
        <v>16</v>
      </c>
      <c r="J18">
        <v>42</v>
      </c>
      <c r="K18">
        <v>1</v>
      </c>
      <c r="L18" t="s">
        <v>16</v>
      </c>
      <c r="M18">
        <f>SUM(Table15[[#This Row],[Salida]],-Table15[[#This Row],[Arribo (Clock)]])</f>
        <v>5</v>
      </c>
      <c r="N18">
        <v>0</v>
      </c>
      <c r="P18">
        <v>3</v>
      </c>
      <c r="Q18">
        <v>0.35</v>
      </c>
      <c r="R18">
        <v>0.35</v>
      </c>
    </row>
    <row r="19" spans="1:18" x14ac:dyDescent="0.25">
      <c r="A19">
        <v>18</v>
      </c>
      <c r="B19">
        <v>0.89</v>
      </c>
      <c r="C19">
        <v>4</v>
      </c>
      <c r="D19">
        <v>41</v>
      </c>
      <c r="E19" t="s">
        <v>16</v>
      </c>
      <c r="F19">
        <v>41</v>
      </c>
      <c r="G19">
        <v>0.63</v>
      </c>
      <c r="H19" t="s">
        <v>16</v>
      </c>
      <c r="I19">
        <v>5</v>
      </c>
      <c r="J19">
        <v>46</v>
      </c>
      <c r="K19" t="s">
        <v>16</v>
      </c>
      <c r="L19">
        <v>2</v>
      </c>
      <c r="M19">
        <f>SUM(Table15[[#This Row],[Salida]],-Table15[[#This Row],[Arribo (Clock)]])</f>
        <v>5</v>
      </c>
      <c r="N19">
        <v>0</v>
      </c>
      <c r="P19">
        <v>4</v>
      </c>
      <c r="Q19">
        <v>0.27</v>
      </c>
      <c r="R19">
        <v>0.62</v>
      </c>
    </row>
    <row r="20" spans="1:18" x14ac:dyDescent="0.25">
      <c r="A20">
        <v>19</v>
      </c>
      <c r="B20">
        <v>0.5</v>
      </c>
      <c r="C20">
        <v>2</v>
      </c>
      <c r="D20">
        <v>43</v>
      </c>
      <c r="E20">
        <v>43</v>
      </c>
      <c r="F20" t="s">
        <v>16</v>
      </c>
      <c r="G20">
        <v>0.56000000000000005</v>
      </c>
      <c r="H20">
        <v>3</v>
      </c>
      <c r="I20" t="s">
        <v>16</v>
      </c>
      <c r="J20">
        <v>46</v>
      </c>
      <c r="K20">
        <v>1</v>
      </c>
      <c r="L20" t="s">
        <v>16</v>
      </c>
      <c r="M20">
        <f>SUM(Table15[[#This Row],[Salida]],-Table15[[#This Row],[Arribo (Clock)]])</f>
        <v>3</v>
      </c>
      <c r="N20">
        <v>0</v>
      </c>
      <c r="P20">
        <v>5</v>
      </c>
      <c r="Q20">
        <v>0.15</v>
      </c>
      <c r="R20">
        <v>0.77</v>
      </c>
    </row>
    <row r="21" spans="1:18" x14ac:dyDescent="0.25">
      <c r="A21">
        <v>20</v>
      </c>
      <c r="B21">
        <v>0.83</v>
      </c>
      <c r="C21">
        <v>3</v>
      </c>
      <c r="D21">
        <v>46</v>
      </c>
      <c r="E21">
        <v>46</v>
      </c>
      <c r="F21" t="s">
        <v>16</v>
      </c>
      <c r="G21">
        <v>0.78</v>
      </c>
      <c r="H21">
        <v>4</v>
      </c>
      <c r="I21" t="s">
        <v>16</v>
      </c>
      <c r="J21">
        <v>50</v>
      </c>
      <c r="K21">
        <v>0</v>
      </c>
      <c r="L21" t="s">
        <v>16</v>
      </c>
      <c r="M21">
        <f>SUM(Table15[[#This Row],[Salida]],-Table15[[#This Row],[Arribo (Clock)]])</f>
        <v>4</v>
      </c>
      <c r="N21">
        <v>0</v>
      </c>
      <c r="P21">
        <v>6</v>
      </c>
      <c r="Q21">
        <v>0.23</v>
      </c>
      <c r="R21">
        <v>1</v>
      </c>
    </row>
    <row r="22" spans="1:18" x14ac:dyDescent="0.25">
      <c r="A22">
        <v>21</v>
      </c>
      <c r="B22">
        <v>1</v>
      </c>
      <c r="C22">
        <v>4</v>
      </c>
      <c r="D22">
        <v>50</v>
      </c>
      <c r="E22">
        <v>50</v>
      </c>
      <c r="F22" t="s">
        <v>16</v>
      </c>
      <c r="G22">
        <v>0.78</v>
      </c>
      <c r="H22">
        <v>4</v>
      </c>
      <c r="I22" t="s">
        <v>16</v>
      </c>
      <c r="J22">
        <v>54</v>
      </c>
      <c r="K22">
        <v>0</v>
      </c>
      <c r="L22" t="s">
        <v>16</v>
      </c>
      <c r="M22">
        <f>SUM(Table15[[#This Row],[Salida]],-Table15[[#This Row],[Arribo (Clock)]])</f>
        <v>4</v>
      </c>
      <c r="N22">
        <v>0</v>
      </c>
    </row>
    <row r="23" spans="1:18" x14ac:dyDescent="0.25">
      <c r="A23">
        <v>22</v>
      </c>
      <c r="B23">
        <v>0.59</v>
      </c>
      <c r="C23">
        <v>2</v>
      </c>
      <c r="D23">
        <v>52</v>
      </c>
      <c r="E23" t="s">
        <v>16</v>
      </c>
      <c r="G23">
        <v>0.88</v>
      </c>
      <c r="H23" t="s">
        <v>16</v>
      </c>
      <c r="I23">
        <v>6</v>
      </c>
      <c r="J23">
        <v>58</v>
      </c>
      <c r="K23" t="s">
        <v>16</v>
      </c>
      <c r="L23">
        <v>6</v>
      </c>
      <c r="M23">
        <f>SUM(Table15[[#This Row],[Salida]],-Table15[[#This Row],[Arribo (Clock)]])</f>
        <v>6</v>
      </c>
      <c r="N23">
        <v>0</v>
      </c>
    </row>
    <row r="24" spans="1:18" x14ac:dyDescent="0.25">
      <c r="A24">
        <v>23</v>
      </c>
      <c r="B24">
        <v>0.7</v>
      </c>
      <c r="C24">
        <v>3</v>
      </c>
      <c r="D24">
        <v>55</v>
      </c>
      <c r="E24">
        <v>55</v>
      </c>
      <c r="F24" t="s">
        <v>16</v>
      </c>
      <c r="G24">
        <v>0.84</v>
      </c>
      <c r="H24">
        <v>5</v>
      </c>
      <c r="I24" t="s">
        <v>16</v>
      </c>
      <c r="J24">
        <v>60</v>
      </c>
      <c r="K24">
        <v>1</v>
      </c>
      <c r="L24" t="s">
        <v>16</v>
      </c>
      <c r="M24">
        <f>SUM(Table15[[#This Row],[Salida]],-Table15[[#This Row],[Arribo (Clock)]])</f>
        <v>5</v>
      </c>
      <c r="N24">
        <v>0</v>
      </c>
    </row>
    <row r="25" spans="1:18" x14ac:dyDescent="0.25">
      <c r="A25">
        <v>24</v>
      </c>
      <c r="B25">
        <v>0.54</v>
      </c>
      <c r="C25">
        <v>2</v>
      </c>
      <c r="D25">
        <v>57</v>
      </c>
      <c r="E25" t="s">
        <v>16</v>
      </c>
      <c r="F25">
        <v>58</v>
      </c>
      <c r="G25">
        <v>0.93</v>
      </c>
      <c r="H25" t="s">
        <v>16</v>
      </c>
      <c r="I25">
        <v>6</v>
      </c>
      <c r="J25">
        <v>64</v>
      </c>
      <c r="K25" t="s">
        <v>16</v>
      </c>
      <c r="L25">
        <v>0</v>
      </c>
      <c r="M25">
        <f>SUM(Table15[[#This Row],[Salida]],-Table15[[#This Row],[Arribo (Clock)]])</f>
        <v>7</v>
      </c>
      <c r="N25">
        <v>1</v>
      </c>
    </row>
    <row r="26" spans="1:18" x14ac:dyDescent="0.25">
      <c r="K26">
        <f>SUM(K2:K25)</f>
        <v>4</v>
      </c>
      <c r="L26">
        <f>SUM(L2:L25)</f>
        <v>20</v>
      </c>
      <c r="M26">
        <f>SUM(Table15[[#This Row],[Salida]],-Table15[[#This Row],[Arribo (Clock)]])</f>
        <v>0</v>
      </c>
      <c r="N26">
        <f>SUM(N2:N25)</f>
        <v>8</v>
      </c>
      <c r="O26" t="s">
        <v>20</v>
      </c>
    </row>
    <row r="27" spans="1:18" x14ac:dyDescent="0.25">
      <c r="L27">
        <f>MAX(L2:L25)</f>
        <v>6</v>
      </c>
      <c r="M27">
        <f>SUM(Table15[[#This Row],[Salida]],-Table15[[#This Row],[Arribo (Clock)]])</f>
        <v>0</v>
      </c>
      <c r="N27">
        <f>MAX(N2:N25)</f>
        <v>3</v>
      </c>
      <c r="O27" t="s">
        <v>21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Airport</vt:lpstr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Farias</dc:creator>
  <cp:lastModifiedBy>juan cruz paez</cp:lastModifiedBy>
  <dcterms:created xsi:type="dcterms:W3CDTF">2015-06-05T18:17:20Z</dcterms:created>
  <dcterms:modified xsi:type="dcterms:W3CDTF">2025-04-18T15:51:57Z</dcterms:modified>
</cp:coreProperties>
</file>