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facun\Documents\Facultad\3er Año\1er Cuatri\Modelos y Simulación\Unidades\U1 Introducción a la Simulación\Práctica\"/>
    </mc:Choice>
  </mc:AlternateContent>
  <xr:revisionPtr revIDLastSave="0" documentId="13_ncr:1_{F2A0ECAC-3C9D-4867-988E-C1CD62D2F76F}" xr6:coauthVersionLast="47" xr6:coauthVersionMax="47" xr10:uidLastSave="{00000000-0000-0000-0000-000000000000}"/>
  <bookViews>
    <workbookView xWindow="28680" yWindow="-120" windowWidth="20730" windowHeight="11760" xr2:uid="{00000000-000D-0000-FFFF-FFFF00000000}"/>
  </bookViews>
  <sheets>
    <sheet name="E1" sheetId="1" r:id="rId1"/>
    <sheet name="E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J2" i="1"/>
  <c r="J3" i="1"/>
  <c r="J4" i="1"/>
  <c r="J5" i="1"/>
  <c r="J6" i="1"/>
  <c r="J7" i="1"/>
  <c r="J8" i="1"/>
  <c r="J9" i="1"/>
  <c r="J10" i="1"/>
  <c r="J11" i="1"/>
  <c r="J12" i="1"/>
  <c r="J13" i="1"/>
  <c r="L27" i="3"/>
  <c r="L26" i="3"/>
  <c r="K26" i="3"/>
  <c r="N27" i="3"/>
  <c r="N26" i="3"/>
</calcChain>
</file>

<file path=xl/sharedStrings.xml><?xml version="1.0" encoding="utf-8"?>
<sst xmlns="http://schemas.openxmlformats.org/spreadsheetml/2006/main" count="115" uniqueCount="27">
  <si>
    <t>Tiempo entre arribo</t>
  </si>
  <si>
    <t>Arribo (Clock)</t>
  </si>
  <si>
    <t>Duración de Inspección</t>
  </si>
  <si>
    <t>P(x)</t>
  </si>
  <si>
    <t>Tiempo Entre Arribo</t>
  </si>
  <si>
    <t>F</t>
  </si>
  <si>
    <t>Ocio</t>
  </si>
  <si>
    <t>Espera</t>
  </si>
  <si>
    <t>RandomArribo(x)</t>
  </si>
  <si>
    <t>RandomInspección(x)</t>
  </si>
  <si>
    <t>Salida</t>
  </si>
  <si>
    <t>Transito</t>
  </si>
  <si>
    <t>N°</t>
  </si>
  <si>
    <t>Inicio de Atención Juan (Clock)</t>
  </si>
  <si>
    <t>Inicio de Atención Facu (Clock)</t>
  </si>
  <si>
    <t>Duración de Preparación Juan</t>
  </si>
  <si>
    <t>Duración de Preparación Facu</t>
  </si>
  <si>
    <t>Tiempo de Juan</t>
  </si>
  <si>
    <t>Tiempo de Facu</t>
  </si>
  <si>
    <t>Inicio de Inspección (Clock)</t>
  </si>
  <si>
    <t>x</t>
  </si>
  <si>
    <t>ProbabilidadPreparación(x)</t>
  </si>
  <si>
    <t>Ocio Juan</t>
  </si>
  <si>
    <t>Ocio Facu</t>
  </si>
  <si>
    <t>Suma</t>
  </si>
  <si>
    <t>Max</t>
  </si>
  <si>
    <t>Salida (Clock)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</si>
</sst>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144B02-F783-4812-95E0-751916B51BD0}" name="Table1" displayName="Table1" ref="A1:K13" totalsRowShown="0">
  <autoFilter ref="A1:K13" xr:uid="{41144B02-F783-4812-95E0-751916B51BD0}"/>
  <tableColumns count="11">
    <tableColumn id="1" xr3:uid="{7015C11E-937D-42B0-A90E-4171CEB7DD63}" name="N°"/>
    <tableColumn id="10" xr3:uid="{B479D487-1331-4FFD-A1D8-D9C8BEB6FB86}" name="RandomArribo(x)"/>
    <tableColumn id="2" xr3:uid="{1B7A5D8D-4E4D-4940-BD1D-A64A37B690DE}" name="Tiempo entre arribo"/>
    <tableColumn id="3" xr3:uid="{43F31629-1A66-40C6-AC4F-CAE7D0E1481E}" name="Arribo (Clock)"/>
    <tableColumn id="4" xr3:uid="{1FB29065-CCF6-499E-85AF-B8DF2EB0ACFC}" name="Inicio de Inspección (Clock)"/>
    <tableColumn id="12" xr3:uid="{D3CB59A9-ED16-4117-9F8C-C1F36788898F}" name="RandomInspección(x)"/>
    <tableColumn id="5" xr3:uid="{DB41D0EE-F696-4E42-9FE4-39AF3CB8B233}" name="Duración de Inspección"/>
    <tableColumn id="13" xr3:uid="{872D993C-AD03-473B-9AE4-BF5B4256B2F2}" name="Salida (Clock)"/>
    <tableColumn id="7" xr3:uid="{DD6F25BB-7472-4D89-8000-72A8239F69A9}" name="Ocio"/>
    <tableColumn id="14" xr3:uid="{9C195093-FB81-44F3-942A-9FEB95316607}" name="Transito" dataDxfId="1">
      <calculatedColumnFormula>SUM(Table1[[#This Row],[Salida (Clock)]],-Table1[[#This Row],[Arribo (Clock)]])</calculatedColumnFormula>
    </tableColumn>
    <tableColumn id="8" xr3:uid="{7D501633-BD8D-4E7A-B9E6-BB79484980F0}" name="Esper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89C7F9-5FEA-4CC7-BB9B-7F2E0AF1020C}" name="Table2" displayName="Table2" ref="M1:O4" totalsRowShown="0">
  <autoFilter ref="M1:O4" xr:uid="{8289C7F9-5FEA-4CC7-BB9B-7F2E0AF1020C}"/>
  <tableColumns count="3">
    <tableColumn id="1" xr3:uid="{E7A0C7B7-B4E4-44DC-BF66-CF1B2FB52F9A}" name="Tiempo Entre Arribo"/>
    <tableColumn id="2" xr3:uid="{5D99FF41-5505-4A75-97DD-E903E8D82892}" name="P(x)"/>
    <tableColumn id="3" xr3:uid="{61835A78-2E9B-4E24-85D9-FDCBD3B752D3}" name="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FA89B-E913-4FC3-A33C-6F6D043CE390}" name="Table3" displayName="Table3" ref="M6:O12" totalsRowShown="0">
  <autoFilter ref="M6:O12" xr:uid="{43BFA89B-E913-4FC3-A33C-6F6D043CE390}"/>
  <tableColumns count="3">
    <tableColumn id="1" xr3:uid="{49124059-6C29-403B-BB5A-AB77B1667278}" name="Duración de Inspección"/>
    <tableColumn id="2" xr3:uid="{6386B2A1-CEFD-4318-86EE-D387FFBB18E1}" name="P(x)"/>
    <tableColumn id="3" xr3:uid="{A86BBF1F-79EE-4D99-8045-E78683C1B5FE}" name="F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C43BD3-FE68-41CF-AB96-F973BEA4560E}" name="Table15" displayName="Table15" ref="A1:N27" totalsRowShown="0">
  <autoFilter ref="A1:N27" xr:uid="{41144B02-F783-4812-95E0-751916B51BD0}"/>
  <tableColumns count="14">
    <tableColumn id="1" xr3:uid="{D533D0FA-5F18-4E34-A7DA-6BE3D2E5342C}" name="N°"/>
    <tableColumn id="10" xr3:uid="{F4CDD2DE-4DF2-4EB2-B4EB-A650CA71F217}" name="RandomArribo(x)"/>
    <tableColumn id="2" xr3:uid="{542B33D9-2CD1-4A82-87DA-93425349D049}" name="Tiempo Entre Arribo"/>
    <tableColumn id="3" xr3:uid="{06A62D52-ED67-40D8-A767-267A67620372}" name="Arribo (Clock)"/>
    <tableColumn id="4" xr3:uid="{EA90D025-212D-4120-8132-CCEF57EB29FA}" name="Inicio de Atención Juan (Clock)"/>
    <tableColumn id="9" xr3:uid="{3FCF0298-A6BA-42C3-8A78-A1306F03D878}" name="Inicio de Atención Facu (Clock)"/>
    <tableColumn id="6" xr3:uid="{3D9D1299-AF63-4DF4-A4CF-CBC53470BBAB}" name="ProbabilidadPreparación(x)"/>
    <tableColumn id="5" xr3:uid="{3F5B0D7C-B4E3-4F4F-A073-13A4F67639D9}" name="Duración de Preparación Juan"/>
    <tableColumn id="11" xr3:uid="{E3A3238C-062D-480E-B80A-7C315602F19C}" name="Duración de Preparación Facu"/>
    <tableColumn id="13" xr3:uid="{F5601D7F-47DE-4976-B9C7-F5C9D38DFDEE}" name="Salida"/>
    <tableColumn id="7" xr3:uid="{AE72381E-6C47-4753-BAF8-E2882AB9A0AF}" name="Ocio Juan"/>
    <tableColumn id="12" xr3:uid="{E7818327-4CA5-4A89-B4E6-F7C0E770B365}" name="Ocio Facu"/>
    <tableColumn id="14" xr3:uid="{45BF0F5B-851C-430E-9CAB-C8B155D3A2D9}" name="Transito" dataDxfId="0">
      <calculatedColumnFormula>SUM(Table15[[#This Row],[Salida]],-Table15[[#This Row],[Arribo (Clock)]])</calculatedColumnFormula>
    </tableColumn>
    <tableColumn id="8" xr3:uid="{81D41C5D-92D1-4DC8-B341-B865B2845198}" name="Espe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3FACB6E-5C60-4527-9EE3-7D2CA388CA77}" name="Table26" displayName="Table26" ref="P1:R5" totalsRowShown="0">
  <autoFilter ref="P1:R5" xr:uid="{8289C7F9-5FEA-4CC7-BB9B-7F2E0AF1020C}"/>
  <tableColumns count="3">
    <tableColumn id="1" xr3:uid="{A83F5D0C-D47E-47F0-A815-8FA7B2FA7635}" name="Tiempo Entre Arribo"/>
    <tableColumn id="2" xr3:uid="{991A7021-4C59-4E4A-97E3-C70802783049}" name="P(x)"/>
    <tableColumn id="3" xr3:uid="{4BCB13EA-CAAE-4F74-8875-B74951C701D2}" name="F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A988FA-92D7-4AD2-98DF-AA32A27C2C14}" name="Table37" displayName="Table37" ref="P9:R13" totalsRowShown="0">
  <autoFilter ref="P9:R13" xr:uid="{43BFA89B-E913-4FC3-A33C-6F6D043CE390}"/>
  <tableColumns count="3">
    <tableColumn id="1" xr3:uid="{284959BB-8259-479A-92D7-1275D0DC4548}" name="Tiempo de Juan"/>
    <tableColumn id="2" xr3:uid="{5E403540-25A7-40E8-A420-0168BC192F09}" name="P(x)"/>
    <tableColumn id="3" xr3:uid="{10857F79-8818-4F18-BFF8-247909894CE4}" name="F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A7FA73-10B7-4D3F-9AEF-596931C8CB2E}" name="Table378" displayName="Table378" ref="P17:R21" totalsRowShown="0">
  <autoFilter ref="P17:R21" xr:uid="{F8A7FA73-10B7-4D3F-9AEF-596931C8CB2E}"/>
  <tableColumns count="3">
    <tableColumn id="1" xr3:uid="{4DEBAD3F-E228-4C7E-9101-C2EA200495A8}" name="Tiempo de Facu"/>
    <tableColumn id="2" xr3:uid="{39DB32E2-FFF9-4F69-9F67-3129AD62F487}" name="P(x)"/>
    <tableColumn id="3" xr3:uid="{89303FDE-327B-4821-9880-E1D80CF8BFAB}" name="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3"/>
  <sheetViews>
    <sheetView tabSelected="1" zoomScaleNormal="100" workbookViewId="0">
      <selection activeCell="G19" sqref="G19"/>
    </sheetView>
  </sheetViews>
  <sheetFormatPr defaultRowHeight="14.4" x14ac:dyDescent="0.3"/>
  <cols>
    <col min="1" max="1" width="5.21875" bestFit="1" customWidth="1"/>
    <col min="2" max="2" width="17.88671875" bestFit="1" customWidth="1"/>
    <col min="3" max="3" width="20.109375" bestFit="1" customWidth="1"/>
    <col min="4" max="4" width="14.77734375" bestFit="1" customWidth="1"/>
    <col min="5" max="5" width="27.109375" bestFit="1" customWidth="1"/>
    <col min="6" max="6" width="22.109375" bestFit="1" customWidth="1"/>
    <col min="7" max="7" width="23" bestFit="1" customWidth="1"/>
    <col min="8" max="8" width="14.5546875" bestFit="1" customWidth="1"/>
    <col min="9" max="9" width="7.109375" bestFit="1" customWidth="1"/>
    <col min="10" max="10" width="10.109375" bestFit="1" customWidth="1"/>
    <col min="12" max="12" width="6.5546875" bestFit="1" customWidth="1"/>
    <col min="13" max="14" width="23" bestFit="1" customWidth="1"/>
    <col min="15" max="15" width="5" bestFit="1" customWidth="1"/>
  </cols>
  <sheetData>
    <row r="1" spans="1:15" x14ac:dyDescent="0.3">
      <c r="A1" t="s">
        <v>12</v>
      </c>
      <c r="B1" t="s">
        <v>8</v>
      </c>
      <c r="C1" t="s">
        <v>0</v>
      </c>
      <c r="D1" t="s">
        <v>1</v>
      </c>
      <c r="E1" t="s">
        <v>19</v>
      </c>
      <c r="F1" t="s">
        <v>9</v>
      </c>
      <c r="G1" t="s">
        <v>2</v>
      </c>
      <c r="H1" t="s">
        <v>26</v>
      </c>
      <c r="I1" t="s">
        <v>6</v>
      </c>
      <c r="J1" t="s">
        <v>11</v>
      </c>
      <c r="K1" t="s">
        <v>7</v>
      </c>
      <c r="M1" t="s">
        <v>4</v>
      </c>
      <c r="N1" t="s">
        <v>3</v>
      </c>
      <c r="O1" t="s">
        <v>5</v>
      </c>
    </row>
    <row r="2" spans="1:15" x14ac:dyDescent="0.3">
      <c r="A2">
        <v>1</v>
      </c>
      <c r="B2" t="s">
        <v>20</v>
      </c>
      <c r="C2">
        <v>0</v>
      </c>
      <c r="D2">
        <v>0</v>
      </c>
      <c r="E2">
        <v>0</v>
      </c>
      <c r="F2">
        <v>0.88</v>
      </c>
      <c r="G2">
        <v>5</v>
      </c>
      <c r="H2">
        <v>5</v>
      </c>
      <c r="I2">
        <v>0</v>
      </c>
      <c r="J2">
        <f>SUM(Table1[[#This Row],[Salida (Clock)]],-Table1[[#This Row],[Arribo (Clock)]])</f>
        <v>5</v>
      </c>
      <c r="K2">
        <v>0</v>
      </c>
      <c r="M2">
        <v>4</v>
      </c>
      <c r="N2">
        <v>0.34</v>
      </c>
      <c r="O2">
        <v>0.34</v>
      </c>
    </row>
    <row r="3" spans="1:15" x14ac:dyDescent="0.3">
      <c r="A3">
        <v>2</v>
      </c>
      <c r="B3">
        <v>0.44</v>
      </c>
      <c r="C3">
        <v>5</v>
      </c>
      <c r="D3">
        <v>5</v>
      </c>
      <c r="E3">
        <v>5</v>
      </c>
      <c r="F3">
        <v>0.98</v>
      </c>
      <c r="G3">
        <v>6</v>
      </c>
      <c r="H3">
        <v>11</v>
      </c>
      <c r="I3">
        <v>0</v>
      </c>
      <c r="J3">
        <f>SUM(Table1[[#This Row],[Salida (Clock)]],-Table1[[#This Row],[Arribo (Clock)]])</f>
        <v>6</v>
      </c>
      <c r="K3">
        <v>0</v>
      </c>
      <c r="M3">
        <v>5</v>
      </c>
      <c r="N3">
        <v>0.48</v>
      </c>
      <c r="O3">
        <v>0.82</v>
      </c>
    </row>
    <row r="4" spans="1:15" x14ac:dyDescent="0.3">
      <c r="A4">
        <v>3</v>
      </c>
      <c r="B4">
        <v>0.64</v>
      </c>
      <c r="C4">
        <v>5</v>
      </c>
      <c r="D4">
        <v>10</v>
      </c>
      <c r="E4">
        <v>11</v>
      </c>
      <c r="F4">
        <v>0.99</v>
      </c>
      <c r="G4">
        <v>6</v>
      </c>
      <c r="H4">
        <v>17</v>
      </c>
      <c r="I4">
        <v>0</v>
      </c>
      <c r="J4">
        <f>SUM(Table1[[#This Row],[Salida (Clock)]],-Table1[[#This Row],[Arribo (Clock)]])</f>
        <v>7</v>
      </c>
      <c r="K4">
        <v>1</v>
      </c>
      <c r="M4">
        <v>7</v>
      </c>
      <c r="N4">
        <v>0.18</v>
      </c>
      <c r="O4">
        <v>1</v>
      </c>
    </row>
    <row r="5" spans="1:15" x14ac:dyDescent="0.3">
      <c r="A5">
        <v>4</v>
      </c>
      <c r="B5">
        <v>0.89</v>
      </c>
      <c r="C5">
        <v>7</v>
      </c>
      <c r="D5">
        <v>17</v>
      </c>
      <c r="E5">
        <v>17</v>
      </c>
      <c r="F5">
        <v>0.15</v>
      </c>
      <c r="G5">
        <v>2</v>
      </c>
      <c r="H5">
        <v>19</v>
      </c>
      <c r="I5">
        <v>0</v>
      </c>
      <c r="J5">
        <f>SUM(Table1[[#This Row],[Salida (Clock)]],-Table1[[#This Row],[Arribo (Clock)]])</f>
        <v>2</v>
      </c>
      <c r="K5">
        <v>0</v>
      </c>
    </row>
    <row r="6" spans="1:15" x14ac:dyDescent="0.3">
      <c r="A6">
        <v>5</v>
      </c>
      <c r="B6">
        <v>0.65</v>
      </c>
      <c r="C6">
        <v>5</v>
      </c>
      <c r="D6">
        <v>22</v>
      </c>
      <c r="E6">
        <v>22</v>
      </c>
      <c r="F6">
        <v>0.6</v>
      </c>
      <c r="G6">
        <v>4</v>
      </c>
      <c r="H6">
        <v>26</v>
      </c>
      <c r="I6">
        <v>3</v>
      </c>
      <c r="J6">
        <f>SUM(Table1[[#This Row],[Salida (Clock)]],-Table1[[#This Row],[Arribo (Clock)]])</f>
        <v>4</v>
      </c>
      <c r="K6">
        <v>0</v>
      </c>
      <c r="M6" t="s">
        <v>2</v>
      </c>
      <c r="N6" t="s">
        <v>3</v>
      </c>
      <c r="O6" t="s">
        <v>5</v>
      </c>
    </row>
    <row r="7" spans="1:15" x14ac:dyDescent="0.3">
      <c r="A7">
        <v>6</v>
      </c>
      <c r="B7">
        <v>0.7</v>
      </c>
      <c r="C7">
        <v>5</v>
      </c>
      <c r="D7">
        <v>27</v>
      </c>
      <c r="E7">
        <v>27</v>
      </c>
      <c r="F7">
        <v>0.65</v>
      </c>
      <c r="G7">
        <v>4</v>
      </c>
      <c r="H7">
        <v>31</v>
      </c>
      <c r="I7">
        <v>1</v>
      </c>
      <c r="J7">
        <f>SUM(Table1[[#This Row],[Salida (Clock)]],-Table1[[#This Row],[Arribo (Clock)]])</f>
        <v>4</v>
      </c>
      <c r="K7">
        <v>0</v>
      </c>
      <c r="M7">
        <v>1</v>
      </c>
      <c r="N7">
        <v>0.05</v>
      </c>
      <c r="O7">
        <v>0.05</v>
      </c>
    </row>
    <row r="8" spans="1:15" x14ac:dyDescent="0.3">
      <c r="A8">
        <v>7</v>
      </c>
      <c r="B8">
        <v>0.44</v>
      </c>
      <c r="C8">
        <v>5</v>
      </c>
      <c r="D8">
        <v>32</v>
      </c>
      <c r="E8">
        <v>32</v>
      </c>
      <c r="F8">
        <v>0.82</v>
      </c>
      <c r="G8">
        <v>5</v>
      </c>
      <c r="H8">
        <v>37</v>
      </c>
      <c r="I8">
        <v>1</v>
      </c>
      <c r="J8">
        <f>SUM(Table1[[#This Row],[Salida (Clock)]],-Table1[[#This Row],[Arribo (Clock)]])</f>
        <v>5</v>
      </c>
      <c r="K8">
        <v>0</v>
      </c>
      <c r="M8">
        <v>2</v>
      </c>
      <c r="N8">
        <v>0.17</v>
      </c>
      <c r="O8">
        <v>0.22</v>
      </c>
    </row>
    <row r="9" spans="1:15" x14ac:dyDescent="0.3">
      <c r="A9">
        <v>8</v>
      </c>
      <c r="B9">
        <v>0.53</v>
      </c>
      <c r="C9">
        <v>5</v>
      </c>
      <c r="D9">
        <v>37</v>
      </c>
      <c r="E9">
        <v>37</v>
      </c>
      <c r="F9">
        <v>0.96</v>
      </c>
      <c r="G9">
        <v>6</v>
      </c>
      <c r="H9">
        <v>43</v>
      </c>
      <c r="I9">
        <v>0</v>
      </c>
      <c r="J9">
        <f>SUM(Table1[[#This Row],[Salida (Clock)]],-Table1[[#This Row],[Arribo (Clock)]])</f>
        <v>6</v>
      </c>
      <c r="K9">
        <v>0</v>
      </c>
      <c r="M9">
        <v>3</v>
      </c>
      <c r="N9">
        <v>0.23</v>
      </c>
      <c r="O9">
        <v>0.45</v>
      </c>
    </row>
    <row r="10" spans="1:15" x14ac:dyDescent="0.3">
      <c r="A10">
        <v>9</v>
      </c>
      <c r="B10">
        <v>0.77</v>
      </c>
      <c r="C10">
        <v>5</v>
      </c>
      <c r="D10">
        <v>42</v>
      </c>
      <c r="E10">
        <v>43</v>
      </c>
      <c r="F10">
        <v>0.82</v>
      </c>
      <c r="G10">
        <v>5</v>
      </c>
      <c r="H10">
        <v>48</v>
      </c>
      <c r="I10">
        <v>0</v>
      </c>
      <c r="J10">
        <f>SUM(Table1[[#This Row],[Salida (Clock)]],-Table1[[#This Row],[Arribo (Clock)]])</f>
        <v>6</v>
      </c>
      <c r="K10">
        <v>1</v>
      </c>
      <c r="M10">
        <v>4</v>
      </c>
      <c r="N10">
        <v>0.25</v>
      </c>
      <c r="O10">
        <v>0.7</v>
      </c>
    </row>
    <row r="11" spans="1:15" x14ac:dyDescent="0.3">
      <c r="A11">
        <v>10</v>
      </c>
      <c r="B11">
        <v>0.76</v>
      </c>
      <c r="C11">
        <v>5</v>
      </c>
      <c r="D11">
        <v>47</v>
      </c>
      <c r="E11">
        <v>48</v>
      </c>
      <c r="F11">
        <v>0.67</v>
      </c>
      <c r="G11">
        <v>4</v>
      </c>
      <c r="H11">
        <v>52</v>
      </c>
      <c r="I11">
        <v>0</v>
      </c>
      <c r="J11">
        <f>SUM(Table1[[#This Row],[Salida (Clock)]],-Table1[[#This Row],[Arribo (Clock)]])</f>
        <v>5</v>
      </c>
      <c r="K11">
        <v>1</v>
      </c>
      <c r="M11">
        <v>5</v>
      </c>
      <c r="N11">
        <v>0.18</v>
      </c>
      <c r="O11">
        <v>0.88</v>
      </c>
    </row>
    <row r="12" spans="1:15" x14ac:dyDescent="0.3">
      <c r="A12">
        <v>11</v>
      </c>
      <c r="B12">
        <v>0.54</v>
      </c>
      <c r="C12">
        <v>5</v>
      </c>
      <c r="D12">
        <v>52</v>
      </c>
      <c r="E12">
        <v>52</v>
      </c>
      <c r="F12">
        <v>0.96</v>
      </c>
      <c r="G12">
        <v>6</v>
      </c>
      <c r="H12">
        <v>58</v>
      </c>
      <c r="I12">
        <v>0</v>
      </c>
      <c r="J12">
        <f>SUM(Table1[[#This Row],[Salida (Clock)]],-Table1[[#This Row],[Arribo (Clock)]])</f>
        <v>6</v>
      </c>
      <c r="K12">
        <v>0</v>
      </c>
      <c r="M12">
        <v>6</v>
      </c>
      <c r="N12">
        <v>0.12</v>
      </c>
      <c r="O12">
        <v>1</v>
      </c>
    </row>
    <row r="13" spans="1:15" x14ac:dyDescent="0.3">
      <c r="A13">
        <v>12</v>
      </c>
      <c r="B13">
        <v>0.08</v>
      </c>
      <c r="C13">
        <v>4</v>
      </c>
      <c r="D13">
        <v>56</v>
      </c>
      <c r="E13">
        <v>58</v>
      </c>
      <c r="F13">
        <v>0.74</v>
      </c>
      <c r="G13">
        <v>5</v>
      </c>
      <c r="H13">
        <v>63</v>
      </c>
      <c r="I13">
        <v>0</v>
      </c>
      <c r="J13">
        <f>SUM(Table1[[#This Row],[Salida (Clock)]],-Table1[[#This Row],[Arribo (Clock)]])</f>
        <v>7</v>
      </c>
      <c r="K13">
        <v>2</v>
      </c>
    </row>
  </sheetData>
  <phoneticPr fontId="1" type="noConversion"/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9099E-E3D4-4CC2-AC26-294D124FA050}">
  <sheetPr codeName="Sheet2"/>
  <dimension ref="A1:R27"/>
  <sheetViews>
    <sheetView topLeftCell="E1" zoomScaleNormal="100" workbookViewId="0">
      <selection activeCell="F9" sqref="A9:XFD9"/>
    </sheetView>
  </sheetViews>
  <sheetFormatPr defaultRowHeight="14.4" x14ac:dyDescent="0.3"/>
  <cols>
    <col min="1" max="1" width="5.21875" bestFit="1" customWidth="1"/>
    <col min="2" max="2" width="17.88671875" bestFit="1" customWidth="1"/>
    <col min="3" max="3" width="20.33203125" bestFit="1" customWidth="1"/>
    <col min="4" max="4" width="14.77734375" bestFit="1" customWidth="1"/>
    <col min="5" max="6" width="29.44140625" bestFit="1" customWidth="1"/>
    <col min="7" max="7" width="27.33203125" bestFit="1" customWidth="1"/>
    <col min="8" max="9" width="28.6640625" bestFit="1" customWidth="1"/>
    <col min="10" max="10" width="8.21875" bestFit="1" customWidth="1"/>
    <col min="11" max="12" width="11.33203125" bestFit="1" customWidth="1"/>
    <col min="15" max="15" width="6.5546875" bestFit="1" customWidth="1"/>
    <col min="16" max="17" width="23" bestFit="1" customWidth="1"/>
    <col min="18" max="18" width="5" bestFit="1" customWidth="1"/>
  </cols>
  <sheetData>
    <row r="1" spans="1:18" x14ac:dyDescent="0.3">
      <c r="A1" t="s">
        <v>12</v>
      </c>
      <c r="B1" t="s">
        <v>8</v>
      </c>
      <c r="C1" t="s">
        <v>4</v>
      </c>
      <c r="D1" t="s">
        <v>1</v>
      </c>
      <c r="E1" t="s">
        <v>13</v>
      </c>
      <c r="F1" t="s">
        <v>14</v>
      </c>
      <c r="G1" t="s">
        <v>21</v>
      </c>
      <c r="H1" t="s">
        <v>15</v>
      </c>
      <c r="I1" t="s">
        <v>16</v>
      </c>
      <c r="J1" t="s">
        <v>10</v>
      </c>
      <c r="K1" t="s">
        <v>22</v>
      </c>
      <c r="L1" t="s">
        <v>23</v>
      </c>
      <c r="M1" t="s">
        <v>11</v>
      </c>
      <c r="N1" t="s">
        <v>7</v>
      </c>
      <c r="P1" t="s">
        <v>4</v>
      </c>
      <c r="Q1" t="s">
        <v>3</v>
      </c>
      <c r="R1" t="s">
        <v>5</v>
      </c>
    </row>
    <row r="2" spans="1:18" x14ac:dyDescent="0.3">
      <c r="A2">
        <v>1</v>
      </c>
      <c r="B2" t="s">
        <v>20</v>
      </c>
      <c r="C2">
        <v>0</v>
      </c>
      <c r="D2">
        <v>0</v>
      </c>
      <c r="E2">
        <v>0</v>
      </c>
      <c r="F2" t="s">
        <v>20</v>
      </c>
      <c r="G2">
        <v>0.5</v>
      </c>
      <c r="H2">
        <v>3</v>
      </c>
      <c r="J2">
        <v>3</v>
      </c>
      <c r="K2">
        <v>0</v>
      </c>
      <c r="L2" t="s">
        <v>20</v>
      </c>
      <c r="M2">
        <f>SUM(Table15[[#This Row],[Salida]],-Table15[[#This Row],[Arribo (Clock)]])</f>
        <v>3</v>
      </c>
      <c r="N2">
        <v>0</v>
      </c>
      <c r="P2">
        <v>1</v>
      </c>
      <c r="Q2">
        <v>0.25</v>
      </c>
      <c r="R2">
        <v>0.25</v>
      </c>
    </row>
    <row r="3" spans="1:18" x14ac:dyDescent="0.3">
      <c r="A3">
        <v>2</v>
      </c>
      <c r="B3">
        <v>0.53</v>
      </c>
      <c r="C3">
        <v>2</v>
      </c>
      <c r="D3">
        <v>2</v>
      </c>
      <c r="E3" t="s">
        <v>20</v>
      </c>
      <c r="F3">
        <v>2</v>
      </c>
      <c r="G3">
        <v>0.71</v>
      </c>
      <c r="H3" t="s">
        <v>20</v>
      </c>
      <c r="I3">
        <v>5</v>
      </c>
      <c r="J3">
        <v>7</v>
      </c>
      <c r="K3" t="s">
        <v>20</v>
      </c>
      <c r="L3">
        <v>2</v>
      </c>
      <c r="M3">
        <f>SUM(Table15[[#This Row],[Salida]],-Table15[[#This Row],[Arribo (Clock)]])</f>
        <v>5</v>
      </c>
      <c r="N3">
        <v>0</v>
      </c>
      <c r="P3">
        <v>2</v>
      </c>
      <c r="Q3">
        <v>0.4</v>
      </c>
      <c r="R3">
        <v>0.65</v>
      </c>
    </row>
    <row r="4" spans="1:18" x14ac:dyDescent="0.3">
      <c r="A4">
        <v>3</v>
      </c>
      <c r="B4">
        <v>0.67</v>
      </c>
      <c r="C4">
        <v>3</v>
      </c>
      <c r="D4">
        <v>5</v>
      </c>
      <c r="E4">
        <v>5</v>
      </c>
      <c r="F4" t="s">
        <v>20</v>
      </c>
      <c r="G4">
        <v>0.89</v>
      </c>
      <c r="H4">
        <v>5</v>
      </c>
      <c r="I4" t="s">
        <v>20</v>
      </c>
      <c r="J4">
        <v>10</v>
      </c>
      <c r="K4">
        <v>0</v>
      </c>
      <c r="L4" t="s">
        <v>20</v>
      </c>
      <c r="M4">
        <f>SUM(Table15[[#This Row],[Salida]],-Table15[[#This Row],[Arribo (Clock)]])</f>
        <v>5</v>
      </c>
      <c r="N4">
        <v>0</v>
      </c>
      <c r="P4">
        <v>3</v>
      </c>
      <c r="Q4">
        <v>0.2</v>
      </c>
      <c r="R4">
        <v>0.85</v>
      </c>
    </row>
    <row r="5" spans="1:18" x14ac:dyDescent="0.3">
      <c r="A5">
        <v>4</v>
      </c>
      <c r="B5">
        <v>0.03</v>
      </c>
      <c r="C5">
        <v>1</v>
      </c>
      <c r="D5">
        <v>6</v>
      </c>
      <c r="E5" t="s">
        <v>20</v>
      </c>
      <c r="F5">
        <v>7</v>
      </c>
      <c r="G5">
        <v>0.19</v>
      </c>
      <c r="H5" t="s">
        <v>20</v>
      </c>
      <c r="I5">
        <v>3</v>
      </c>
      <c r="J5">
        <v>10</v>
      </c>
      <c r="K5" t="s">
        <v>20</v>
      </c>
      <c r="L5">
        <v>0</v>
      </c>
      <c r="M5">
        <f>SUM(Table15[[#This Row],[Salida]],-Table15[[#This Row],[Arribo (Clock)]])</f>
        <v>4</v>
      </c>
      <c r="N5">
        <v>1</v>
      </c>
      <c r="P5">
        <v>4</v>
      </c>
      <c r="Q5">
        <v>0.15</v>
      </c>
      <c r="R5">
        <v>1</v>
      </c>
    </row>
    <row r="6" spans="1:18" x14ac:dyDescent="0.3">
      <c r="A6">
        <v>5</v>
      </c>
      <c r="B6">
        <v>0.08</v>
      </c>
      <c r="C6">
        <v>1</v>
      </c>
      <c r="D6">
        <v>7</v>
      </c>
      <c r="E6">
        <v>10</v>
      </c>
      <c r="F6" t="s">
        <v>20</v>
      </c>
      <c r="G6">
        <v>0.28000000000000003</v>
      </c>
      <c r="H6">
        <v>2</v>
      </c>
      <c r="I6" t="s">
        <v>20</v>
      </c>
      <c r="J6">
        <v>12</v>
      </c>
      <c r="K6">
        <v>0</v>
      </c>
      <c r="L6" t="s">
        <v>20</v>
      </c>
      <c r="M6">
        <f>SUM(Table15[[#This Row],[Salida]],-Table15[[#This Row],[Arribo (Clock)]])</f>
        <v>5</v>
      </c>
      <c r="N6">
        <v>3</v>
      </c>
    </row>
    <row r="7" spans="1:18" x14ac:dyDescent="0.3">
      <c r="A7">
        <v>6</v>
      </c>
      <c r="B7">
        <v>0.59</v>
      </c>
      <c r="C7">
        <v>2</v>
      </c>
      <c r="D7">
        <v>9</v>
      </c>
      <c r="E7" t="s">
        <v>20</v>
      </c>
      <c r="F7">
        <v>10</v>
      </c>
      <c r="G7">
        <v>0.86</v>
      </c>
      <c r="H7" t="s">
        <v>20</v>
      </c>
      <c r="I7">
        <v>6</v>
      </c>
      <c r="J7">
        <v>16</v>
      </c>
      <c r="K7" t="s">
        <v>20</v>
      </c>
      <c r="L7">
        <v>0</v>
      </c>
      <c r="M7">
        <f>SUM(Table15[[#This Row],[Salida]],-Table15[[#This Row],[Arribo (Clock)]])</f>
        <v>7</v>
      </c>
      <c r="N7">
        <v>1</v>
      </c>
    </row>
    <row r="8" spans="1:18" x14ac:dyDescent="0.3">
      <c r="A8">
        <v>7</v>
      </c>
      <c r="B8">
        <v>0.82</v>
      </c>
      <c r="C8">
        <v>3</v>
      </c>
      <c r="D8">
        <v>12</v>
      </c>
      <c r="E8">
        <v>12</v>
      </c>
      <c r="F8" t="s">
        <v>20</v>
      </c>
      <c r="G8">
        <v>0.55000000000000004</v>
      </c>
      <c r="H8">
        <v>3</v>
      </c>
      <c r="I8" t="s">
        <v>20</v>
      </c>
      <c r="J8">
        <v>15</v>
      </c>
      <c r="K8">
        <v>0</v>
      </c>
      <c r="L8" t="s">
        <v>20</v>
      </c>
      <c r="M8">
        <f>SUM(Table15[[#This Row],[Salida]],-Table15[[#This Row],[Arribo (Clock)]])</f>
        <v>3</v>
      </c>
      <c r="N8">
        <v>0</v>
      </c>
    </row>
    <row r="9" spans="1:18" x14ac:dyDescent="0.3">
      <c r="A9">
        <v>8</v>
      </c>
      <c r="B9">
        <v>0.16</v>
      </c>
      <c r="C9">
        <v>1</v>
      </c>
      <c r="D9">
        <v>13</v>
      </c>
      <c r="E9">
        <v>15</v>
      </c>
      <c r="F9" t="s">
        <v>20</v>
      </c>
      <c r="G9">
        <v>0.23</v>
      </c>
      <c r="H9">
        <v>2</v>
      </c>
      <c r="I9" t="s">
        <v>20</v>
      </c>
      <c r="J9">
        <v>17</v>
      </c>
      <c r="K9">
        <v>0</v>
      </c>
      <c r="L9" t="s">
        <v>20</v>
      </c>
      <c r="M9">
        <f>SUM(Table15[[#This Row],[Salida]],-Table15[[#This Row],[Arribo (Clock)]])</f>
        <v>4</v>
      </c>
      <c r="N9">
        <v>2</v>
      </c>
      <c r="P9" t="s">
        <v>17</v>
      </c>
      <c r="Q9" t="s">
        <v>3</v>
      </c>
      <c r="R9" t="s">
        <v>5</v>
      </c>
    </row>
    <row r="10" spans="1:18" x14ac:dyDescent="0.3">
      <c r="A10">
        <v>9</v>
      </c>
      <c r="B10">
        <v>0.87</v>
      </c>
      <c r="C10">
        <v>4</v>
      </c>
      <c r="D10">
        <v>17</v>
      </c>
      <c r="E10">
        <v>17</v>
      </c>
      <c r="F10" t="s">
        <v>20</v>
      </c>
      <c r="G10">
        <v>0.18</v>
      </c>
      <c r="H10">
        <v>2</v>
      </c>
      <c r="I10" t="s">
        <v>20</v>
      </c>
      <c r="J10">
        <v>19</v>
      </c>
      <c r="K10">
        <v>0</v>
      </c>
      <c r="L10" t="s">
        <v>20</v>
      </c>
      <c r="M10">
        <f>SUM(Table15[[#This Row],[Salida]],-Table15[[#This Row],[Arribo (Clock)]])</f>
        <v>2</v>
      </c>
      <c r="N10">
        <v>0</v>
      </c>
      <c r="P10">
        <v>2</v>
      </c>
      <c r="Q10">
        <v>0.3</v>
      </c>
      <c r="R10">
        <v>0.3</v>
      </c>
    </row>
    <row r="11" spans="1:18" x14ac:dyDescent="0.3">
      <c r="A11">
        <v>10</v>
      </c>
      <c r="B11">
        <v>0.28999999999999998</v>
      </c>
      <c r="C11">
        <v>2</v>
      </c>
      <c r="D11">
        <v>19</v>
      </c>
      <c r="E11">
        <v>19</v>
      </c>
      <c r="F11" t="s">
        <v>20</v>
      </c>
      <c r="G11">
        <v>0.85</v>
      </c>
      <c r="H11">
        <v>5</v>
      </c>
      <c r="I11" t="s">
        <v>20</v>
      </c>
      <c r="J11">
        <v>24</v>
      </c>
      <c r="K11">
        <v>0</v>
      </c>
      <c r="L11" t="s">
        <v>20</v>
      </c>
      <c r="M11">
        <f>SUM(Table15[[#This Row],[Salida]],-Table15[[#This Row],[Arribo (Clock)]])</f>
        <v>5</v>
      </c>
      <c r="N11">
        <v>0</v>
      </c>
      <c r="P11">
        <v>3</v>
      </c>
      <c r="Q11">
        <v>0.28000000000000003</v>
      </c>
      <c r="R11">
        <v>0.57999999999999996</v>
      </c>
    </row>
    <row r="12" spans="1:18" x14ac:dyDescent="0.3">
      <c r="A12">
        <v>11</v>
      </c>
      <c r="B12">
        <v>0.48</v>
      </c>
      <c r="C12">
        <v>2</v>
      </c>
      <c r="D12">
        <v>21</v>
      </c>
      <c r="E12" t="s">
        <v>20</v>
      </c>
      <c r="F12">
        <v>21</v>
      </c>
      <c r="G12">
        <v>0.39</v>
      </c>
      <c r="H12" t="s">
        <v>20</v>
      </c>
      <c r="I12">
        <v>4</v>
      </c>
      <c r="J12">
        <v>25</v>
      </c>
      <c r="K12" t="s">
        <v>20</v>
      </c>
      <c r="L12">
        <v>5</v>
      </c>
      <c r="M12">
        <f>SUM(Table15[[#This Row],[Salida]],-Table15[[#This Row],[Arribo (Clock)]])</f>
        <v>4</v>
      </c>
      <c r="N12">
        <v>0</v>
      </c>
      <c r="P12">
        <v>4</v>
      </c>
      <c r="Q12">
        <v>0.25</v>
      </c>
      <c r="R12">
        <v>0.83</v>
      </c>
    </row>
    <row r="13" spans="1:18" x14ac:dyDescent="0.3">
      <c r="A13">
        <v>12</v>
      </c>
      <c r="B13">
        <v>0.84</v>
      </c>
      <c r="C13">
        <v>3</v>
      </c>
      <c r="D13">
        <v>24</v>
      </c>
      <c r="E13">
        <v>24</v>
      </c>
      <c r="F13" t="s">
        <v>20</v>
      </c>
      <c r="G13">
        <v>0.93</v>
      </c>
      <c r="H13">
        <v>5</v>
      </c>
      <c r="I13" t="s">
        <v>20</v>
      </c>
      <c r="J13">
        <v>29</v>
      </c>
      <c r="K13">
        <v>0</v>
      </c>
      <c r="L13" t="s">
        <v>20</v>
      </c>
      <c r="M13">
        <f>SUM(Table15[[#This Row],[Salida]],-Table15[[#This Row],[Arribo (Clock)]])</f>
        <v>5</v>
      </c>
      <c r="N13">
        <v>0</v>
      </c>
      <c r="P13">
        <v>5</v>
      </c>
      <c r="Q13">
        <v>0.17</v>
      </c>
      <c r="R13">
        <v>1</v>
      </c>
    </row>
    <row r="14" spans="1:18" x14ac:dyDescent="0.3">
      <c r="A14">
        <v>13</v>
      </c>
      <c r="B14">
        <v>0.46</v>
      </c>
      <c r="C14">
        <v>2</v>
      </c>
      <c r="D14">
        <v>26</v>
      </c>
      <c r="E14" t="s">
        <v>20</v>
      </c>
      <c r="F14">
        <v>26</v>
      </c>
      <c r="G14">
        <v>0.7</v>
      </c>
      <c r="H14" t="s">
        <v>20</v>
      </c>
      <c r="I14">
        <v>5</v>
      </c>
      <c r="J14">
        <v>31</v>
      </c>
      <c r="K14" t="s">
        <v>20</v>
      </c>
      <c r="L14">
        <v>1</v>
      </c>
      <c r="M14">
        <f>SUM(Table15[[#This Row],[Salida]],-Table15[[#This Row],[Arribo (Clock)]])</f>
        <v>5</v>
      </c>
    </row>
    <row r="15" spans="1:18" x14ac:dyDescent="0.3">
      <c r="A15">
        <v>14</v>
      </c>
      <c r="B15">
        <v>0.77</v>
      </c>
      <c r="C15">
        <v>3</v>
      </c>
      <c r="D15">
        <v>29</v>
      </c>
      <c r="E15">
        <v>29</v>
      </c>
      <c r="F15" t="s">
        <v>20</v>
      </c>
      <c r="G15">
        <v>0.43</v>
      </c>
      <c r="H15">
        <v>3</v>
      </c>
      <c r="I15" t="s">
        <v>20</v>
      </c>
      <c r="J15">
        <v>32</v>
      </c>
      <c r="K15">
        <v>0</v>
      </c>
      <c r="L15" t="s">
        <v>20</v>
      </c>
      <c r="M15">
        <f>SUM(Table15[[#This Row],[Salida]],-Table15[[#This Row],[Arribo (Clock)]])</f>
        <v>3</v>
      </c>
      <c r="N15">
        <v>0</v>
      </c>
    </row>
    <row r="16" spans="1:18" x14ac:dyDescent="0.3">
      <c r="A16">
        <v>15</v>
      </c>
      <c r="B16">
        <v>0.87</v>
      </c>
      <c r="C16">
        <v>4</v>
      </c>
      <c r="D16">
        <v>33</v>
      </c>
      <c r="E16">
        <v>33</v>
      </c>
      <c r="F16" t="s">
        <v>20</v>
      </c>
      <c r="G16">
        <v>0.35</v>
      </c>
      <c r="H16">
        <v>3</v>
      </c>
      <c r="I16" t="s">
        <v>20</v>
      </c>
      <c r="J16">
        <v>36</v>
      </c>
      <c r="K16">
        <v>1</v>
      </c>
      <c r="L16" t="s">
        <v>20</v>
      </c>
      <c r="M16">
        <f>SUM(Table15[[#This Row],[Salida]],-Table15[[#This Row],[Arribo (Clock)]])</f>
        <v>3</v>
      </c>
      <c r="N16">
        <v>0</v>
      </c>
    </row>
    <row r="17" spans="1:18" x14ac:dyDescent="0.3">
      <c r="A17">
        <v>16</v>
      </c>
      <c r="B17">
        <v>0.49</v>
      </c>
      <c r="C17">
        <v>2</v>
      </c>
      <c r="D17">
        <v>35</v>
      </c>
      <c r="E17" t="s">
        <v>20</v>
      </c>
      <c r="F17">
        <v>35</v>
      </c>
      <c r="G17">
        <v>0.37</v>
      </c>
      <c r="H17" t="s">
        <v>20</v>
      </c>
      <c r="I17">
        <v>4</v>
      </c>
      <c r="J17">
        <v>39</v>
      </c>
      <c r="K17" t="s">
        <v>20</v>
      </c>
      <c r="L17">
        <v>4</v>
      </c>
      <c r="M17">
        <f>SUM(Table15[[#This Row],[Salida]],-Table15[[#This Row],[Arribo (Clock)]])</f>
        <v>4</v>
      </c>
      <c r="N17">
        <v>0</v>
      </c>
      <c r="P17" t="s">
        <v>18</v>
      </c>
      <c r="Q17" t="s">
        <v>3</v>
      </c>
      <c r="R17" t="s">
        <v>5</v>
      </c>
    </row>
    <row r="18" spans="1:18" x14ac:dyDescent="0.3">
      <c r="A18">
        <v>17</v>
      </c>
      <c r="B18">
        <v>0.34</v>
      </c>
      <c r="C18">
        <v>2</v>
      </c>
      <c r="D18">
        <v>37</v>
      </c>
      <c r="E18">
        <v>37</v>
      </c>
      <c r="F18" t="s">
        <v>20</v>
      </c>
      <c r="G18">
        <v>0.96</v>
      </c>
      <c r="H18">
        <v>5</v>
      </c>
      <c r="I18" t="s">
        <v>20</v>
      </c>
      <c r="J18">
        <v>42</v>
      </c>
      <c r="K18">
        <v>1</v>
      </c>
      <c r="L18" t="s">
        <v>20</v>
      </c>
      <c r="M18">
        <f>SUM(Table15[[#This Row],[Salida]],-Table15[[#This Row],[Arribo (Clock)]])</f>
        <v>5</v>
      </c>
      <c r="N18">
        <v>0</v>
      </c>
      <c r="P18">
        <v>3</v>
      </c>
      <c r="Q18">
        <v>0.35</v>
      </c>
      <c r="R18">
        <v>0.35</v>
      </c>
    </row>
    <row r="19" spans="1:18" x14ac:dyDescent="0.3">
      <c r="A19">
        <v>18</v>
      </c>
      <c r="B19">
        <v>0.89</v>
      </c>
      <c r="C19">
        <v>4</v>
      </c>
      <c r="D19">
        <v>41</v>
      </c>
      <c r="E19" t="s">
        <v>20</v>
      </c>
      <c r="F19">
        <v>41</v>
      </c>
      <c r="G19">
        <v>0.63</v>
      </c>
      <c r="H19" t="s">
        <v>20</v>
      </c>
      <c r="I19">
        <v>5</v>
      </c>
      <c r="J19">
        <v>46</v>
      </c>
      <c r="K19" t="s">
        <v>20</v>
      </c>
      <c r="L19">
        <v>2</v>
      </c>
      <c r="M19">
        <f>SUM(Table15[[#This Row],[Salida]],-Table15[[#This Row],[Arribo (Clock)]])</f>
        <v>5</v>
      </c>
      <c r="N19">
        <v>0</v>
      </c>
      <c r="P19">
        <v>4</v>
      </c>
      <c r="Q19">
        <v>0.27</v>
      </c>
      <c r="R19">
        <v>0.62</v>
      </c>
    </row>
    <row r="20" spans="1:18" x14ac:dyDescent="0.3">
      <c r="A20">
        <v>19</v>
      </c>
      <c r="B20">
        <v>0.5</v>
      </c>
      <c r="C20">
        <v>2</v>
      </c>
      <c r="D20">
        <v>43</v>
      </c>
      <c r="E20">
        <v>43</v>
      </c>
      <c r="F20" t="s">
        <v>20</v>
      </c>
      <c r="G20">
        <v>0.56000000000000005</v>
      </c>
      <c r="H20">
        <v>3</v>
      </c>
      <c r="I20" t="s">
        <v>20</v>
      </c>
      <c r="J20">
        <v>46</v>
      </c>
      <c r="K20">
        <v>1</v>
      </c>
      <c r="L20" t="s">
        <v>20</v>
      </c>
      <c r="M20">
        <f>SUM(Table15[[#This Row],[Salida]],-Table15[[#This Row],[Arribo (Clock)]])</f>
        <v>3</v>
      </c>
      <c r="N20">
        <v>0</v>
      </c>
      <c r="P20">
        <v>5</v>
      </c>
      <c r="Q20">
        <v>0.15</v>
      </c>
      <c r="R20">
        <v>0.77</v>
      </c>
    </row>
    <row r="21" spans="1:18" x14ac:dyDescent="0.3">
      <c r="A21">
        <v>20</v>
      </c>
      <c r="B21">
        <v>0.83</v>
      </c>
      <c r="C21">
        <v>3</v>
      </c>
      <c r="D21">
        <v>46</v>
      </c>
      <c r="E21">
        <v>46</v>
      </c>
      <c r="F21" t="s">
        <v>20</v>
      </c>
      <c r="G21">
        <v>0.78</v>
      </c>
      <c r="H21">
        <v>4</v>
      </c>
      <c r="I21" t="s">
        <v>20</v>
      </c>
      <c r="J21">
        <v>50</v>
      </c>
      <c r="K21">
        <v>0</v>
      </c>
      <c r="L21" t="s">
        <v>20</v>
      </c>
      <c r="M21">
        <f>SUM(Table15[[#This Row],[Salida]],-Table15[[#This Row],[Arribo (Clock)]])</f>
        <v>4</v>
      </c>
      <c r="N21">
        <v>0</v>
      </c>
      <c r="P21">
        <v>6</v>
      </c>
      <c r="Q21">
        <v>0.23</v>
      </c>
      <c r="R21">
        <v>1</v>
      </c>
    </row>
    <row r="22" spans="1:18" x14ac:dyDescent="0.3">
      <c r="A22">
        <v>21</v>
      </c>
      <c r="B22">
        <v>1</v>
      </c>
      <c r="C22">
        <v>4</v>
      </c>
      <c r="D22">
        <v>50</v>
      </c>
      <c r="E22">
        <v>50</v>
      </c>
      <c r="F22" t="s">
        <v>20</v>
      </c>
      <c r="G22">
        <v>0.78</v>
      </c>
      <c r="H22">
        <v>4</v>
      </c>
      <c r="I22" t="s">
        <v>20</v>
      </c>
      <c r="J22">
        <v>54</v>
      </c>
      <c r="K22">
        <v>0</v>
      </c>
      <c r="L22" t="s">
        <v>20</v>
      </c>
      <c r="M22">
        <f>SUM(Table15[[#This Row],[Salida]],-Table15[[#This Row],[Arribo (Clock)]])</f>
        <v>4</v>
      </c>
      <c r="N22">
        <v>0</v>
      </c>
    </row>
    <row r="23" spans="1:18" x14ac:dyDescent="0.3">
      <c r="A23">
        <v>22</v>
      </c>
      <c r="B23">
        <v>0.59</v>
      </c>
      <c r="C23">
        <v>2</v>
      </c>
      <c r="D23">
        <v>52</v>
      </c>
      <c r="E23" t="s">
        <v>20</v>
      </c>
      <c r="G23">
        <v>0.88</v>
      </c>
      <c r="H23" t="s">
        <v>20</v>
      </c>
      <c r="I23">
        <v>6</v>
      </c>
      <c r="J23">
        <v>58</v>
      </c>
      <c r="K23" t="s">
        <v>20</v>
      </c>
      <c r="L23">
        <v>6</v>
      </c>
      <c r="M23">
        <f>SUM(Table15[[#This Row],[Salida]],-Table15[[#This Row],[Arribo (Clock)]])</f>
        <v>6</v>
      </c>
      <c r="N23">
        <v>0</v>
      </c>
    </row>
    <row r="24" spans="1:18" x14ac:dyDescent="0.3">
      <c r="A24">
        <v>23</v>
      </c>
      <c r="B24">
        <v>0.7</v>
      </c>
      <c r="C24">
        <v>3</v>
      </c>
      <c r="D24">
        <v>55</v>
      </c>
      <c r="E24">
        <v>55</v>
      </c>
      <c r="F24" t="s">
        <v>20</v>
      </c>
      <c r="G24">
        <v>0.84</v>
      </c>
      <c r="H24">
        <v>5</v>
      </c>
      <c r="I24" t="s">
        <v>20</v>
      </c>
      <c r="J24">
        <v>60</v>
      </c>
      <c r="K24">
        <v>1</v>
      </c>
      <c r="L24" t="s">
        <v>20</v>
      </c>
      <c r="M24">
        <f>SUM(Table15[[#This Row],[Salida]],-Table15[[#This Row],[Arribo (Clock)]])</f>
        <v>5</v>
      </c>
      <c r="N24">
        <v>0</v>
      </c>
    </row>
    <row r="25" spans="1:18" x14ac:dyDescent="0.3">
      <c r="A25">
        <v>24</v>
      </c>
      <c r="B25">
        <v>0.54</v>
      </c>
      <c r="C25">
        <v>2</v>
      </c>
      <c r="D25">
        <v>57</v>
      </c>
      <c r="E25" t="s">
        <v>20</v>
      </c>
      <c r="F25">
        <v>58</v>
      </c>
      <c r="G25">
        <v>0.93</v>
      </c>
      <c r="H25" t="s">
        <v>20</v>
      </c>
      <c r="I25">
        <v>6</v>
      </c>
      <c r="J25">
        <v>64</v>
      </c>
      <c r="K25" t="s">
        <v>20</v>
      </c>
      <c r="L25">
        <v>0</v>
      </c>
      <c r="M25">
        <f>SUM(Table15[[#This Row],[Salida]],-Table15[[#This Row],[Arribo (Clock)]])</f>
        <v>7</v>
      </c>
      <c r="N25">
        <v>1</v>
      </c>
    </row>
    <row r="26" spans="1:18" x14ac:dyDescent="0.3">
      <c r="K26">
        <f>SUM(K2:K25)</f>
        <v>4</v>
      </c>
      <c r="L26">
        <f>SUM(L2:L25)</f>
        <v>20</v>
      </c>
      <c r="M26">
        <f>SUM(Table15[[#This Row],[Salida]],-Table15[[#This Row],[Arribo (Clock)]])</f>
        <v>0</v>
      </c>
      <c r="N26">
        <f>SUM(N2:N25)</f>
        <v>8</v>
      </c>
      <c r="O26" t="s">
        <v>24</v>
      </c>
    </row>
    <row r="27" spans="1:18" x14ac:dyDescent="0.3">
      <c r="L27">
        <f>MAX(L2:L25)</f>
        <v>6</v>
      </c>
      <c r="M27">
        <f>SUM(Table15[[#This Row],[Salida]],-Table15[[#This Row],[Arribo (Clock)]])</f>
        <v>0</v>
      </c>
      <c r="N27">
        <f>MAX(N2:N25)</f>
        <v>3</v>
      </c>
      <c r="O27" t="s">
        <v>25</v>
      </c>
    </row>
  </sheetData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E1</vt:lpstr>
      <vt:lpstr>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Farias</dc:creator>
  <cp:lastModifiedBy>Facundo Farias</cp:lastModifiedBy>
  <dcterms:created xsi:type="dcterms:W3CDTF">2015-06-05T18:17:20Z</dcterms:created>
  <dcterms:modified xsi:type="dcterms:W3CDTF">2025-03-24T20:02:27Z</dcterms:modified>
</cp:coreProperties>
</file>